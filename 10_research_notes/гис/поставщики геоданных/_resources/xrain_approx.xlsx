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I:\docs\maxim\obsidian2\гис\поставщики геоданных\_resources\"/>
    </mc:Choice>
  </mc:AlternateContent>
  <xr:revisionPtr revIDLastSave="0" documentId="13_ncr:1_{F83CDD3C-4260-4700-8527-43BF747FE3F9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37" i="1" l="1"/>
  <c r="AN37" i="1"/>
  <c r="AH37" i="1"/>
  <c r="AI37" i="1"/>
  <c r="AJ37" i="1"/>
  <c r="AK37" i="1"/>
  <c r="AL37" i="1"/>
  <c r="AG37" i="1"/>
  <c r="M100" i="1" l="1"/>
  <c r="M96" i="1"/>
  <c r="M92" i="1"/>
  <c r="M88" i="1"/>
  <c r="M84" i="1"/>
  <c r="M80" i="1"/>
  <c r="M76" i="1"/>
  <c r="M72" i="1"/>
  <c r="M68" i="1"/>
  <c r="M64" i="1"/>
  <c r="M60" i="1"/>
  <c r="M56" i="1"/>
  <c r="H101" i="1"/>
  <c r="H97" i="1"/>
  <c r="H93" i="1"/>
  <c r="H89" i="1"/>
  <c r="H85" i="1"/>
  <c r="H81" i="1"/>
  <c r="H77" i="1"/>
  <c r="H73" i="1"/>
  <c r="H69" i="1"/>
  <c r="H65" i="1"/>
  <c r="H61" i="1"/>
  <c r="H57" i="1"/>
  <c r="H27" i="1"/>
  <c r="H31" i="1"/>
  <c r="H35" i="1"/>
  <c r="H39" i="1"/>
  <c r="H43" i="1"/>
  <c r="H47" i="1"/>
  <c r="H51" i="1"/>
  <c r="AE21" i="1"/>
  <c r="AE17" i="1"/>
  <c r="M10" i="1"/>
  <c r="M7" i="1"/>
  <c r="H13" i="1"/>
  <c r="AE103" i="1"/>
  <c r="M103" i="1"/>
  <c r="H103" i="1"/>
  <c r="AE53" i="1"/>
  <c r="AE102" i="1" s="1"/>
  <c r="M53" i="1"/>
  <c r="M102" i="1" s="1"/>
  <c r="H53" i="1"/>
  <c r="H102" i="1" s="1"/>
  <c r="AE23" i="1"/>
  <c r="AE51" i="1" s="1"/>
  <c r="M23" i="1"/>
  <c r="M49" i="1" s="1"/>
  <c r="H23" i="1"/>
  <c r="H25" i="1" s="1"/>
  <c r="AE13" i="1"/>
  <c r="AE20" i="1" s="1"/>
  <c r="M13" i="1"/>
  <c r="AE8" i="1"/>
  <c r="AE9" i="1" s="1"/>
  <c r="M8" i="1"/>
  <c r="M12" i="1" s="1"/>
  <c r="H8" i="1"/>
  <c r="H10" i="1" s="1"/>
  <c r="AE5" i="1"/>
  <c r="AE7" i="1" s="1"/>
  <c r="H5" i="1"/>
  <c r="M5" i="1"/>
  <c r="AE4" i="1"/>
  <c r="M4" i="1"/>
  <c r="H4" i="1"/>
  <c r="J4" i="1" s="1"/>
  <c r="J102" i="1" l="1"/>
  <c r="I102" i="1"/>
  <c r="K102" i="1"/>
  <c r="L102" i="1"/>
  <c r="AA49" i="1"/>
  <c r="AB49" i="1"/>
  <c r="AC49" i="1"/>
  <c r="N49" i="1"/>
  <c r="K10" i="1"/>
  <c r="L10" i="1"/>
  <c r="I10" i="1"/>
  <c r="J10" i="1"/>
  <c r="X12" i="1"/>
  <c r="Y12" i="1"/>
  <c r="V12" i="1"/>
  <c r="W12" i="1"/>
  <c r="L25" i="1"/>
  <c r="O102" i="1"/>
  <c r="S102" i="1"/>
  <c r="W102" i="1"/>
  <c r="AA102" i="1"/>
  <c r="P102" i="1"/>
  <c r="T102" i="1"/>
  <c r="X102" i="1"/>
  <c r="AB102" i="1"/>
  <c r="Q102" i="1"/>
  <c r="U102" i="1"/>
  <c r="Y102" i="1"/>
  <c r="AC102" i="1"/>
  <c r="N102" i="1"/>
  <c r="AD102" i="1"/>
  <c r="R102" i="1"/>
  <c r="V102" i="1"/>
  <c r="Z102" i="1"/>
  <c r="K13" i="1"/>
  <c r="L13" i="1"/>
  <c r="I13" i="1"/>
  <c r="J13" i="1"/>
  <c r="N10" i="1"/>
  <c r="AD10" i="1"/>
  <c r="AA10" i="1"/>
  <c r="AB10" i="1"/>
  <c r="Q10" i="1"/>
  <c r="AC10" i="1"/>
  <c r="AE10" i="1"/>
  <c r="R10" i="1" s="1"/>
  <c r="H18" i="1"/>
  <c r="M14" i="1"/>
  <c r="M18" i="1"/>
  <c r="M22" i="1"/>
  <c r="AG38" i="1"/>
  <c r="K35" i="1"/>
  <c r="M29" i="1"/>
  <c r="M41" i="1"/>
  <c r="AE28" i="1"/>
  <c r="AE36" i="1"/>
  <c r="AE48" i="1"/>
  <c r="J57" i="1"/>
  <c r="K65" i="1"/>
  <c r="I73" i="1"/>
  <c r="L81" i="1"/>
  <c r="L89" i="1"/>
  <c r="I97" i="1"/>
  <c r="AB56" i="1"/>
  <c r="AC56" i="1"/>
  <c r="Z56" i="1"/>
  <c r="S56" i="1"/>
  <c r="X64" i="1"/>
  <c r="Y64" i="1"/>
  <c r="V64" i="1"/>
  <c r="W64" i="1"/>
  <c r="U72" i="1"/>
  <c r="R72" i="1"/>
  <c r="O72" i="1"/>
  <c r="AB72" i="1"/>
  <c r="Q84" i="1"/>
  <c r="N84" i="1"/>
  <c r="AD84" i="1"/>
  <c r="AA84" i="1"/>
  <c r="AB84" i="1"/>
  <c r="AC88" i="1"/>
  <c r="Z88" i="1"/>
  <c r="W88" i="1"/>
  <c r="T88" i="1"/>
  <c r="K5" i="1"/>
  <c r="L5" i="1"/>
  <c r="I5" i="1"/>
  <c r="J5" i="1"/>
  <c r="N23" i="1"/>
  <c r="R23" i="1"/>
  <c r="V23" i="1"/>
  <c r="Z23" i="1"/>
  <c r="AD23" i="1"/>
  <c r="O23" i="1"/>
  <c r="S23" i="1"/>
  <c r="W23" i="1"/>
  <c r="AA23" i="1"/>
  <c r="P23" i="1"/>
  <c r="T23" i="1"/>
  <c r="X23" i="1"/>
  <c r="AB23" i="1"/>
  <c r="AC23" i="1"/>
  <c r="Q23" i="1"/>
  <c r="U23" i="1"/>
  <c r="Y23" i="1"/>
  <c r="Q7" i="1"/>
  <c r="U7" i="1"/>
  <c r="Y7" i="1"/>
  <c r="AC7" i="1"/>
  <c r="N7" i="1"/>
  <c r="R7" i="1"/>
  <c r="V7" i="1"/>
  <c r="Z7" i="1"/>
  <c r="AD7" i="1"/>
  <c r="O7" i="1"/>
  <c r="S7" i="1"/>
  <c r="W7" i="1"/>
  <c r="AA7" i="1"/>
  <c r="X7" i="1"/>
  <c r="AB7" i="1"/>
  <c r="T7" i="1"/>
  <c r="P7" i="1"/>
  <c r="H11" i="1"/>
  <c r="H22" i="1"/>
  <c r="I51" i="1"/>
  <c r="I47" i="1"/>
  <c r="I39" i="1"/>
  <c r="I31" i="1"/>
  <c r="M25" i="1"/>
  <c r="K25" i="1" s="1"/>
  <c r="M33" i="1"/>
  <c r="M37" i="1"/>
  <c r="M45" i="1"/>
  <c r="AE24" i="1"/>
  <c r="AE32" i="1"/>
  <c r="AE40" i="1"/>
  <c r="AE44" i="1"/>
  <c r="AE52" i="1"/>
  <c r="K69" i="1"/>
  <c r="I85" i="1"/>
  <c r="K101" i="1"/>
  <c r="P68" i="1"/>
  <c r="U68" i="1"/>
  <c r="V68" i="1"/>
  <c r="W68" i="1"/>
  <c r="AB68" i="1"/>
  <c r="Y80" i="1"/>
  <c r="V80" i="1"/>
  <c r="S80" i="1"/>
  <c r="X80" i="1"/>
  <c r="U96" i="1"/>
  <c r="R96" i="1"/>
  <c r="O96" i="1"/>
  <c r="T96" i="1"/>
  <c r="AE55" i="1"/>
  <c r="AE67" i="1"/>
  <c r="AE71" i="1"/>
  <c r="AE75" i="1"/>
  <c r="AE79" i="1"/>
  <c r="AE83" i="1"/>
  <c r="AE87" i="1"/>
  <c r="AE91" i="1"/>
  <c r="AE95" i="1"/>
  <c r="R4" i="1"/>
  <c r="V4" i="1"/>
  <c r="Z4" i="1"/>
  <c r="AD4" i="1"/>
  <c r="O4" i="1"/>
  <c r="S4" i="1"/>
  <c r="W4" i="1"/>
  <c r="AA4" i="1"/>
  <c r="N4" i="1"/>
  <c r="P4" i="1"/>
  <c r="T4" i="1"/>
  <c r="X4" i="1"/>
  <c r="AB4" i="1"/>
  <c r="AC4" i="1"/>
  <c r="Q4" i="1"/>
  <c r="U4" i="1"/>
  <c r="Y4" i="1"/>
  <c r="O13" i="1"/>
  <c r="S13" i="1"/>
  <c r="W13" i="1"/>
  <c r="AA13" i="1"/>
  <c r="P13" i="1"/>
  <c r="T13" i="1"/>
  <c r="X13" i="1"/>
  <c r="AB13" i="1"/>
  <c r="Q13" i="1"/>
  <c r="U13" i="1"/>
  <c r="Y13" i="1"/>
  <c r="AC13" i="1"/>
  <c r="R13" i="1"/>
  <c r="AD13" i="1"/>
  <c r="V13" i="1"/>
  <c r="N13" i="1"/>
  <c r="Z13" i="1"/>
  <c r="J103" i="1"/>
  <c r="K103" i="1"/>
  <c r="L103" i="1"/>
  <c r="I103" i="1"/>
  <c r="H6" i="1"/>
  <c r="AE6" i="1"/>
  <c r="M11" i="1"/>
  <c r="AE11" i="1"/>
  <c r="H21" i="1"/>
  <c r="H17" i="1"/>
  <c r="M15" i="1"/>
  <c r="M19" i="1"/>
  <c r="AE14" i="1"/>
  <c r="AE18" i="1"/>
  <c r="AE22" i="1"/>
  <c r="H50" i="1"/>
  <c r="H46" i="1"/>
  <c r="H42" i="1"/>
  <c r="H38" i="1"/>
  <c r="H34" i="1"/>
  <c r="H30" i="1"/>
  <c r="H26" i="1"/>
  <c r="M26" i="1"/>
  <c r="M30" i="1"/>
  <c r="M34" i="1"/>
  <c r="M38" i="1"/>
  <c r="M42" i="1"/>
  <c r="M46" i="1"/>
  <c r="M50" i="1"/>
  <c r="AE25" i="1"/>
  <c r="AE29" i="1"/>
  <c r="AE33" i="1"/>
  <c r="AE37" i="1"/>
  <c r="AE41" i="1"/>
  <c r="AE45" i="1"/>
  <c r="AE49" i="1"/>
  <c r="O49" i="1" s="1"/>
  <c r="H54" i="1"/>
  <c r="H58" i="1"/>
  <c r="H62" i="1"/>
  <c r="H66" i="1"/>
  <c r="H70" i="1"/>
  <c r="H74" i="1"/>
  <c r="H78" i="1"/>
  <c r="H82" i="1"/>
  <c r="H86" i="1"/>
  <c r="H90" i="1"/>
  <c r="H94" i="1"/>
  <c r="H98" i="1"/>
  <c r="M57" i="1"/>
  <c r="M61" i="1"/>
  <c r="J61" i="1" s="1"/>
  <c r="M65" i="1"/>
  <c r="I65" i="1" s="1"/>
  <c r="M69" i="1"/>
  <c r="J69" i="1" s="1"/>
  <c r="M73" i="1"/>
  <c r="M77" i="1"/>
  <c r="J77" i="1" s="1"/>
  <c r="M81" i="1"/>
  <c r="I81" i="1" s="1"/>
  <c r="M85" i="1"/>
  <c r="J85" i="1" s="1"/>
  <c r="M89" i="1"/>
  <c r="M93" i="1"/>
  <c r="M97" i="1"/>
  <c r="K97" i="1" s="1"/>
  <c r="M101" i="1"/>
  <c r="J101" i="1" s="1"/>
  <c r="AE56" i="1"/>
  <c r="P56" i="1" s="1"/>
  <c r="AE60" i="1"/>
  <c r="X60" i="1" s="1"/>
  <c r="AE64" i="1"/>
  <c r="AB64" i="1" s="1"/>
  <c r="AE68" i="1"/>
  <c r="Q68" i="1" s="1"/>
  <c r="AE72" i="1"/>
  <c r="Y72" i="1" s="1"/>
  <c r="AE76" i="1"/>
  <c r="Q76" i="1" s="1"/>
  <c r="AE80" i="1"/>
  <c r="AC80" i="1" s="1"/>
  <c r="AE84" i="1"/>
  <c r="U84" i="1" s="1"/>
  <c r="AE88" i="1"/>
  <c r="Q88" i="1" s="1"/>
  <c r="AE92" i="1"/>
  <c r="U92" i="1" s="1"/>
  <c r="AE96" i="1"/>
  <c r="Y96" i="1" s="1"/>
  <c r="AE100" i="1"/>
  <c r="L4" i="1"/>
  <c r="AA92" i="1"/>
  <c r="T92" i="1"/>
  <c r="AE59" i="1"/>
  <c r="I4" i="1"/>
  <c r="K8" i="1"/>
  <c r="L8" i="1"/>
  <c r="I8" i="1"/>
  <c r="J8" i="1"/>
  <c r="K53" i="1"/>
  <c r="L53" i="1"/>
  <c r="I53" i="1"/>
  <c r="J53" i="1"/>
  <c r="N103" i="1"/>
  <c r="O103" i="1"/>
  <c r="P103" i="1"/>
  <c r="T103" i="1"/>
  <c r="X103" i="1"/>
  <c r="AB103" i="1"/>
  <c r="Q103" i="1"/>
  <c r="U103" i="1"/>
  <c r="Y103" i="1"/>
  <c r="AC103" i="1"/>
  <c r="R103" i="1"/>
  <c r="V103" i="1"/>
  <c r="Z103" i="1"/>
  <c r="AD103" i="1"/>
  <c r="AA103" i="1"/>
  <c r="W103" i="1"/>
  <c r="S103" i="1"/>
  <c r="H7" i="1"/>
  <c r="H9" i="1"/>
  <c r="AE12" i="1"/>
  <c r="AB12" i="1" s="1"/>
  <c r="H20" i="1"/>
  <c r="H16" i="1"/>
  <c r="M16" i="1"/>
  <c r="M20" i="1"/>
  <c r="AE15" i="1"/>
  <c r="AE19" i="1"/>
  <c r="H24" i="1"/>
  <c r="H49" i="1"/>
  <c r="H45" i="1"/>
  <c r="H41" i="1"/>
  <c r="H37" i="1"/>
  <c r="H33" i="1"/>
  <c r="H29" i="1"/>
  <c r="M27" i="1"/>
  <c r="M31" i="1"/>
  <c r="K31" i="1" s="1"/>
  <c r="M35" i="1"/>
  <c r="J35" i="1" s="1"/>
  <c r="M39" i="1"/>
  <c r="M43" i="1"/>
  <c r="J43" i="1" s="1"/>
  <c r="M47" i="1"/>
  <c r="K47" i="1" s="1"/>
  <c r="M51" i="1"/>
  <c r="L51" i="1" s="1"/>
  <c r="AE26" i="1"/>
  <c r="AE30" i="1"/>
  <c r="AE34" i="1"/>
  <c r="AE38" i="1"/>
  <c r="AE42" i="1"/>
  <c r="AE46" i="1"/>
  <c r="AE50" i="1"/>
  <c r="H55" i="1"/>
  <c r="H59" i="1"/>
  <c r="H63" i="1"/>
  <c r="H67" i="1"/>
  <c r="H71" i="1"/>
  <c r="H75" i="1"/>
  <c r="H79" i="1"/>
  <c r="H83" i="1"/>
  <c r="H87" i="1"/>
  <c r="H91" i="1"/>
  <c r="H95" i="1"/>
  <c r="H99" i="1"/>
  <c r="M54" i="1"/>
  <c r="M58" i="1"/>
  <c r="M62" i="1"/>
  <c r="M66" i="1"/>
  <c r="M70" i="1"/>
  <c r="M74" i="1"/>
  <c r="M78" i="1"/>
  <c r="M82" i="1"/>
  <c r="M86" i="1"/>
  <c r="M90" i="1"/>
  <c r="M94" i="1"/>
  <c r="M98" i="1"/>
  <c r="AE57" i="1"/>
  <c r="AE61" i="1"/>
  <c r="AE65" i="1"/>
  <c r="AE69" i="1"/>
  <c r="AE73" i="1"/>
  <c r="AE77" i="1"/>
  <c r="AE81" i="1"/>
  <c r="AE85" i="1"/>
  <c r="AE89" i="1"/>
  <c r="AE93" i="1"/>
  <c r="AE97" i="1"/>
  <c r="AE101" i="1"/>
  <c r="K4" i="1"/>
  <c r="Q100" i="1"/>
  <c r="U100" i="1"/>
  <c r="Y100" i="1"/>
  <c r="AC100" i="1"/>
  <c r="N100" i="1"/>
  <c r="R100" i="1"/>
  <c r="V100" i="1"/>
  <c r="Z100" i="1"/>
  <c r="AD100" i="1"/>
  <c r="O100" i="1"/>
  <c r="S100" i="1"/>
  <c r="W100" i="1"/>
  <c r="AA100" i="1"/>
  <c r="P100" i="1"/>
  <c r="T100" i="1"/>
  <c r="X100" i="1"/>
  <c r="AB100" i="1"/>
  <c r="AE63" i="1"/>
  <c r="AE99" i="1"/>
  <c r="O5" i="1"/>
  <c r="S5" i="1"/>
  <c r="W5" i="1"/>
  <c r="AA5" i="1"/>
  <c r="P5" i="1"/>
  <c r="T5" i="1"/>
  <c r="X5" i="1"/>
  <c r="AB5" i="1"/>
  <c r="Q5" i="1"/>
  <c r="U5" i="1"/>
  <c r="Y5" i="1"/>
  <c r="AC5" i="1"/>
  <c r="Z5" i="1"/>
  <c r="V5" i="1"/>
  <c r="N5" i="1"/>
  <c r="AD5" i="1"/>
  <c r="R5" i="1"/>
  <c r="P8" i="1"/>
  <c r="T8" i="1"/>
  <c r="X8" i="1"/>
  <c r="AB8" i="1"/>
  <c r="Q8" i="1"/>
  <c r="U8" i="1"/>
  <c r="Y8" i="1"/>
  <c r="AC8" i="1"/>
  <c r="N8" i="1"/>
  <c r="R8" i="1"/>
  <c r="V8" i="1"/>
  <c r="Z8" i="1"/>
  <c r="AD8" i="1"/>
  <c r="W8" i="1"/>
  <c r="S8" i="1"/>
  <c r="AA8" i="1"/>
  <c r="O8" i="1"/>
  <c r="K23" i="1"/>
  <c r="L23" i="1"/>
  <c r="I23" i="1"/>
  <c r="J23" i="1"/>
  <c r="O53" i="1"/>
  <c r="N53" i="1"/>
  <c r="S53" i="1"/>
  <c r="W53" i="1"/>
  <c r="AA53" i="1"/>
  <c r="P53" i="1"/>
  <c r="T53" i="1"/>
  <c r="X53" i="1"/>
  <c r="AB53" i="1"/>
  <c r="Q53" i="1"/>
  <c r="U53" i="1"/>
  <c r="Y53" i="1"/>
  <c r="AC53" i="1"/>
  <c r="AD53" i="1"/>
  <c r="R53" i="1"/>
  <c r="V53" i="1"/>
  <c r="Z53" i="1"/>
  <c r="M6" i="1"/>
  <c r="H12" i="1"/>
  <c r="M9" i="1"/>
  <c r="H14" i="1"/>
  <c r="H19" i="1"/>
  <c r="H15" i="1"/>
  <c r="M17" i="1"/>
  <c r="M21" i="1"/>
  <c r="AE16" i="1"/>
  <c r="H52" i="1"/>
  <c r="H48" i="1"/>
  <c r="H44" i="1"/>
  <c r="H40" i="1"/>
  <c r="H36" i="1"/>
  <c r="H32" i="1"/>
  <c r="H28" i="1"/>
  <c r="M24" i="1"/>
  <c r="M28" i="1"/>
  <c r="M32" i="1"/>
  <c r="M36" i="1"/>
  <c r="M40" i="1"/>
  <c r="M44" i="1"/>
  <c r="M48" i="1"/>
  <c r="M52" i="1"/>
  <c r="AE27" i="1"/>
  <c r="AE31" i="1"/>
  <c r="AE35" i="1"/>
  <c r="AE39" i="1"/>
  <c r="AE43" i="1"/>
  <c r="AG39" i="1" s="1"/>
  <c r="AE47" i="1"/>
  <c r="H56" i="1"/>
  <c r="H60" i="1"/>
  <c r="H64" i="1"/>
  <c r="H68" i="1"/>
  <c r="H72" i="1"/>
  <c r="H76" i="1"/>
  <c r="H80" i="1"/>
  <c r="H84" i="1"/>
  <c r="H88" i="1"/>
  <c r="H92" i="1"/>
  <c r="H96" i="1"/>
  <c r="H100" i="1"/>
  <c r="M55" i="1"/>
  <c r="M59" i="1"/>
  <c r="M63" i="1"/>
  <c r="M67" i="1"/>
  <c r="M71" i="1"/>
  <c r="M75" i="1"/>
  <c r="M79" i="1"/>
  <c r="M83" i="1"/>
  <c r="M87" i="1"/>
  <c r="M91" i="1"/>
  <c r="M95" i="1"/>
  <c r="M99" i="1"/>
  <c r="AE54" i="1"/>
  <c r="AE58" i="1"/>
  <c r="AE62" i="1"/>
  <c r="AE66" i="1"/>
  <c r="AE70" i="1"/>
  <c r="AE74" i="1"/>
  <c r="AE78" i="1"/>
  <c r="AE82" i="1"/>
  <c r="AE86" i="1"/>
  <c r="AE90" i="1"/>
  <c r="AE94" i="1"/>
  <c r="AE98" i="1"/>
  <c r="AI39" i="1" l="1"/>
  <c r="AI38" i="1"/>
  <c r="Q59" i="1"/>
  <c r="U59" i="1"/>
  <c r="Y59" i="1"/>
  <c r="AC59" i="1"/>
  <c r="N59" i="1"/>
  <c r="R59" i="1"/>
  <c r="V59" i="1"/>
  <c r="Z59" i="1"/>
  <c r="AD59" i="1"/>
  <c r="O59" i="1"/>
  <c r="S59" i="1"/>
  <c r="W59" i="1"/>
  <c r="AA59" i="1"/>
  <c r="X59" i="1"/>
  <c r="AB59" i="1"/>
  <c r="P59" i="1"/>
  <c r="T59" i="1"/>
  <c r="K60" i="1"/>
  <c r="L60" i="1"/>
  <c r="I60" i="1"/>
  <c r="J60" i="1"/>
  <c r="Q36" i="1"/>
  <c r="U36" i="1"/>
  <c r="Y36" i="1"/>
  <c r="AC36" i="1"/>
  <c r="N36" i="1"/>
  <c r="R36" i="1"/>
  <c r="V36" i="1"/>
  <c r="Z36" i="1"/>
  <c r="AD36" i="1"/>
  <c r="O36" i="1"/>
  <c r="S36" i="1"/>
  <c r="W36" i="1"/>
  <c r="AA36" i="1"/>
  <c r="P36" i="1"/>
  <c r="T36" i="1"/>
  <c r="X36" i="1"/>
  <c r="AB36" i="1"/>
  <c r="P21" i="1"/>
  <c r="T21" i="1"/>
  <c r="X21" i="1"/>
  <c r="AB21" i="1"/>
  <c r="Q21" i="1"/>
  <c r="U21" i="1"/>
  <c r="Y21" i="1"/>
  <c r="AC21" i="1"/>
  <c r="N21" i="1"/>
  <c r="R21" i="1"/>
  <c r="V21" i="1"/>
  <c r="Z21" i="1"/>
  <c r="AD21" i="1"/>
  <c r="O21" i="1"/>
  <c r="S21" i="1"/>
  <c r="W21" i="1"/>
  <c r="AA21" i="1"/>
  <c r="O94" i="1"/>
  <c r="S94" i="1"/>
  <c r="W94" i="1"/>
  <c r="AA94" i="1"/>
  <c r="P94" i="1"/>
  <c r="T94" i="1"/>
  <c r="X94" i="1"/>
  <c r="AB94" i="1"/>
  <c r="Q94" i="1"/>
  <c r="U94" i="1"/>
  <c r="Y94" i="1"/>
  <c r="AC94" i="1"/>
  <c r="V94" i="1"/>
  <c r="Z94" i="1"/>
  <c r="N94" i="1"/>
  <c r="AD94" i="1"/>
  <c r="R94" i="1"/>
  <c r="J95" i="1"/>
  <c r="K95" i="1"/>
  <c r="I95" i="1"/>
  <c r="L95" i="1"/>
  <c r="N27" i="1"/>
  <c r="R27" i="1"/>
  <c r="V27" i="1"/>
  <c r="Z27" i="1"/>
  <c r="AD27" i="1"/>
  <c r="O27" i="1"/>
  <c r="S27" i="1"/>
  <c r="W27" i="1"/>
  <c r="AA27" i="1"/>
  <c r="P27" i="1"/>
  <c r="T27" i="1"/>
  <c r="X27" i="1"/>
  <c r="AB27" i="1"/>
  <c r="Y27" i="1"/>
  <c r="AC27" i="1"/>
  <c r="Q27" i="1"/>
  <c r="U27" i="1"/>
  <c r="K16" i="1"/>
  <c r="L16" i="1"/>
  <c r="I16" i="1"/>
  <c r="J16" i="1"/>
  <c r="P93" i="1"/>
  <c r="T93" i="1"/>
  <c r="X93" i="1"/>
  <c r="AB93" i="1"/>
  <c r="Q93" i="1"/>
  <c r="U93" i="1"/>
  <c r="Y93" i="1"/>
  <c r="AC93" i="1"/>
  <c r="N93" i="1"/>
  <c r="R93" i="1"/>
  <c r="V93" i="1"/>
  <c r="Z93" i="1"/>
  <c r="AD93" i="1"/>
  <c r="W93" i="1"/>
  <c r="AA93" i="1"/>
  <c r="O93" i="1"/>
  <c r="S93" i="1"/>
  <c r="J90" i="1"/>
  <c r="K90" i="1"/>
  <c r="L90" i="1"/>
  <c r="I90" i="1"/>
  <c r="K26" i="1"/>
  <c r="L26" i="1"/>
  <c r="I26" i="1"/>
  <c r="J26" i="1"/>
  <c r="K17" i="1"/>
  <c r="L17" i="1"/>
  <c r="I17" i="1"/>
  <c r="J17" i="1"/>
  <c r="R60" i="1"/>
  <c r="U60" i="1"/>
  <c r="T60" i="1"/>
  <c r="L61" i="1"/>
  <c r="P29" i="1"/>
  <c r="T29" i="1"/>
  <c r="X29" i="1"/>
  <c r="AB29" i="1"/>
  <c r="Q29" i="1"/>
  <c r="U29" i="1"/>
  <c r="Y29" i="1"/>
  <c r="AC29" i="1"/>
  <c r="N29" i="1"/>
  <c r="R29" i="1"/>
  <c r="V29" i="1"/>
  <c r="Z29" i="1"/>
  <c r="AD29" i="1"/>
  <c r="W29" i="1"/>
  <c r="AA29" i="1"/>
  <c r="O29" i="1"/>
  <c r="S29" i="1"/>
  <c r="N87" i="1"/>
  <c r="R87" i="1"/>
  <c r="V87" i="1"/>
  <c r="Z87" i="1"/>
  <c r="AD87" i="1"/>
  <c r="O87" i="1"/>
  <c r="S87" i="1"/>
  <c r="W87" i="1"/>
  <c r="AA87" i="1"/>
  <c r="P87" i="1"/>
  <c r="T87" i="1"/>
  <c r="X87" i="1"/>
  <c r="AB87" i="1"/>
  <c r="AC87" i="1"/>
  <c r="Q87" i="1"/>
  <c r="U87" i="1"/>
  <c r="Y87" i="1"/>
  <c r="N71" i="1"/>
  <c r="R71" i="1"/>
  <c r="V71" i="1"/>
  <c r="Z71" i="1"/>
  <c r="AD71" i="1"/>
  <c r="O71" i="1"/>
  <c r="S71" i="1"/>
  <c r="W71" i="1"/>
  <c r="AA71" i="1"/>
  <c r="P71" i="1"/>
  <c r="T71" i="1"/>
  <c r="X71" i="1"/>
  <c r="AB71" i="1"/>
  <c r="AC71" i="1"/>
  <c r="Q71" i="1"/>
  <c r="U71" i="1"/>
  <c r="Y71" i="1"/>
  <c r="Q55" i="1"/>
  <c r="U55" i="1"/>
  <c r="Y55" i="1"/>
  <c r="AC55" i="1"/>
  <c r="N55" i="1"/>
  <c r="R55" i="1"/>
  <c r="V55" i="1"/>
  <c r="Z55" i="1"/>
  <c r="AD55" i="1"/>
  <c r="O55" i="1"/>
  <c r="S55" i="1"/>
  <c r="W55" i="1"/>
  <c r="AA55" i="1"/>
  <c r="AB55" i="1"/>
  <c r="P55" i="1"/>
  <c r="T55" i="1"/>
  <c r="X55" i="1"/>
  <c r="J88" i="1"/>
  <c r="K88" i="1"/>
  <c r="I88" i="1"/>
  <c r="L88" i="1"/>
  <c r="J72" i="1"/>
  <c r="I72" i="1"/>
  <c r="K72" i="1"/>
  <c r="L72" i="1"/>
  <c r="K56" i="1"/>
  <c r="L56" i="1"/>
  <c r="I56" i="1"/>
  <c r="J56" i="1"/>
  <c r="P48" i="1"/>
  <c r="T48" i="1"/>
  <c r="X48" i="1"/>
  <c r="AB48" i="1"/>
  <c r="Q48" i="1"/>
  <c r="U48" i="1"/>
  <c r="Y48" i="1"/>
  <c r="AC48" i="1"/>
  <c r="N48" i="1"/>
  <c r="R48" i="1"/>
  <c r="V48" i="1"/>
  <c r="Z48" i="1"/>
  <c r="AD48" i="1"/>
  <c r="S48" i="1"/>
  <c r="W48" i="1"/>
  <c r="AA48" i="1"/>
  <c r="O48" i="1"/>
  <c r="Q32" i="1"/>
  <c r="U32" i="1"/>
  <c r="Y32" i="1"/>
  <c r="AC32" i="1"/>
  <c r="N32" i="1"/>
  <c r="R32" i="1"/>
  <c r="V32" i="1"/>
  <c r="Z32" i="1"/>
  <c r="AD32" i="1"/>
  <c r="O32" i="1"/>
  <c r="S32" i="1"/>
  <c r="W32" i="1"/>
  <c r="AA32" i="1"/>
  <c r="T32" i="1"/>
  <c r="X32" i="1"/>
  <c r="AB32" i="1"/>
  <c r="P32" i="1"/>
  <c r="K32" i="1"/>
  <c r="L32" i="1"/>
  <c r="I32" i="1"/>
  <c r="J32" i="1"/>
  <c r="K48" i="1"/>
  <c r="L48" i="1"/>
  <c r="I48" i="1"/>
  <c r="J48" i="1"/>
  <c r="O17" i="1"/>
  <c r="S17" i="1"/>
  <c r="W17" i="1"/>
  <c r="AA17" i="1"/>
  <c r="P17" i="1"/>
  <c r="T17" i="1"/>
  <c r="X17" i="1"/>
  <c r="AB17" i="1"/>
  <c r="Q17" i="1"/>
  <c r="U17" i="1"/>
  <c r="Y17" i="1"/>
  <c r="AC17" i="1"/>
  <c r="N17" i="1"/>
  <c r="AD17" i="1"/>
  <c r="Z17" i="1"/>
  <c r="R17" i="1"/>
  <c r="V17" i="1"/>
  <c r="O9" i="1"/>
  <c r="S9" i="1"/>
  <c r="W9" i="1"/>
  <c r="AA9" i="1"/>
  <c r="P9" i="1"/>
  <c r="T9" i="1"/>
  <c r="X9" i="1"/>
  <c r="AB9" i="1"/>
  <c r="Q9" i="1"/>
  <c r="U9" i="1"/>
  <c r="Y9" i="1"/>
  <c r="AC9" i="1"/>
  <c r="V9" i="1"/>
  <c r="Z9" i="1"/>
  <c r="N9" i="1"/>
  <c r="AD9" i="1"/>
  <c r="R9" i="1"/>
  <c r="O90" i="1"/>
  <c r="S90" i="1"/>
  <c r="W90" i="1"/>
  <c r="AA90" i="1"/>
  <c r="P90" i="1"/>
  <c r="T90" i="1"/>
  <c r="X90" i="1"/>
  <c r="AB90" i="1"/>
  <c r="Q90" i="1"/>
  <c r="U90" i="1"/>
  <c r="Y90" i="1"/>
  <c r="AC90" i="1"/>
  <c r="Z90" i="1"/>
  <c r="N90" i="1"/>
  <c r="AD90" i="1"/>
  <c r="R90" i="1"/>
  <c r="V90" i="1"/>
  <c r="O74" i="1"/>
  <c r="S74" i="1"/>
  <c r="W74" i="1"/>
  <c r="AA74" i="1"/>
  <c r="P74" i="1"/>
  <c r="T74" i="1"/>
  <c r="X74" i="1"/>
  <c r="AB74" i="1"/>
  <c r="Q74" i="1"/>
  <c r="U74" i="1"/>
  <c r="Y74" i="1"/>
  <c r="AC74" i="1"/>
  <c r="Z74" i="1"/>
  <c r="N74" i="1"/>
  <c r="AD74" i="1"/>
  <c r="R74" i="1"/>
  <c r="V74" i="1"/>
  <c r="N58" i="1"/>
  <c r="R58" i="1"/>
  <c r="V58" i="1"/>
  <c r="Z58" i="1"/>
  <c r="AD58" i="1"/>
  <c r="O58" i="1"/>
  <c r="S58" i="1"/>
  <c r="W58" i="1"/>
  <c r="AA58" i="1"/>
  <c r="P58" i="1"/>
  <c r="T58" i="1"/>
  <c r="X58" i="1"/>
  <c r="AB58" i="1"/>
  <c r="Y58" i="1"/>
  <c r="AC58" i="1"/>
  <c r="Q58" i="1"/>
  <c r="U58" i="1"/>
  <c r="J91" i="1"/>
  <c r="K91" i="1"/>
  <c r="I91" i="1"/>
  <c r="L91" i="1"/>
  <c r="J75" i="1"/>
  <c r="I75" i="1"/>
  <c r="K75" i="1"/>
  <c r="L75" i="1"/>
  <c r="K59" i="1"/>
  <c r="L59" i="1"/>
  <c r="I59" i="1"/>
  <c r="J59" i="1"/>
  <c r="Q39" i="1"/>
  <c r="U39" i="1"/>
  <c r="Y39" i="1"/>
  <c r="AC39" i="1"/>
  <c r="N39" i="1"/>
  <c r="R39" i="1"/>
  <c r="V39" i="1"/>
  <c r="Z39" i="1"/>
  <c r="AD39" i="1"/>
  <c r="O39" i="1"/>
  <c r="S39" i="1"/>
  <c r="W39" i="1"/>
  <c r="AA39" i="1"/>
  <c r="AB39" i="1"/>
  <c r="P39" i="1"/>
  <c r="T39" i="1"/>
  <c r="X39" i="1"/>
  <c r="K29" i="1"/>
  <c r="L29" i="1"/>
  <c r="I29" i="1"/>
  <c r="J29" i="1"/>
  <c r="K45" i="1"/>
  <c r="L45" i="1"/>
  <c r="I45" i="1"/>
  <c r="J45" i="1"/>
  <c r="K20" i="1"/>
  <c r="L20" i="1"/>
  <c r="I20" i="1"/>
  <c r="J20" i="1"/>
  <c r="P92" i="1"/>
  <c r="W92" i="1"/>
  <c r="Z92" i="1"/>
  <c r="AC92" i="1"/>
  <c r="P89" i="1"/>
  <c r="T89" i="1"/>
  <c r="X89" i="1"/>
  <c r="AB89" i="1"/>
  <c r="Q89" i="1"/>
  <c r="U89" i="1"/>
  <c r="Y89" i="1"/>
  <c r="AC89" i="1"/>
  <c r="N89" i="1"/>
  <c r="R89" i="1"/>
  <c r="V89" i="1"/>
  <c r="Z89" i="1"/>
  <c r="AD89" i="1"/>
  <c r="AA89" i="1"/>
  <c r="O89" i="1"/>
  <c r="S89" i="1"/>
  <c r="W89" i="1"/>
  <c r="P73" i="1"/>
  <c r="T73" i="1"/>
  <c r="X73" i="1"/>
  <c r="AB73" i="1"/>
  <c r="Q73" i="1"/>
  <c r="U73" i="1"/>
  <c r="Y73" i="1"/>
  <c r="AC73" i="1"/>
  <c r="N73" i="1"/>
  <c r="R73" i="1"/>
  <c r="V73" i="1"/>
  <c r="Z73" i="1"/>
  <c r="AD73" i="1"/>
  <c r="AA73" i="1"/>
  <c r="O73" i="1"/>
  <c r="S73" i="1"/>
  <c r="W73" i="1"/>
  <c r="O57" i="1"/>
  <c r="S57" i="1"/>
  <c r="W57" i="1"/>
  <c r="AA57" i="1"/>
  <c r="P57" i="1"/>
  <c r="T57" i="1"/>
  <c r="X57" i="1"/>
  <c r="AB57" i="1"/>
  <c r="Q57" i="1"/>
  <c r="U57" i="1"/>
  <c r="Y57" i="1"/>
  <c r="AC57" i="1"/>
  <c r="Z57" i="1"/>
  <c r="N57" i="1"/>
  <c r="AD57" i="1"/>
  <c r="R57" i="1"/>
  <c r="V57" i="1"/>
  <c r="J86" i="1"/>
  <c r="K86" i="1"/>
  <c r="I86" i="1"/>
  <c r="L86" i="1"/>
  <c r="J70" i="1"/>
  <c r="K70" i="1"/>
  <c r="L70" i="1"/>
  <c r="I70" i="1"/>
  <c r="K54" i="1"/>
  <c r="L54" i="1"/>
  <c r="I54" i="1"/>
  <c r="J54" i="1"/>
  <c r="N50" i="1"/>
  <c r="R50" i="1"/>
  <c r="V50" i="1"/>
  <c r="Z50" i="1"/>
  <c r="AD50" i="1"/>
  <c r="O50" i="1"/>
  <c r="S50" i="1"/>
  <c r="W50" i="1"/>
  <c r="AA50" i="1"/>
  <c r="P50" i="1"/>
  <c r="T50" i="1"/>
  <c r="X50" i="1"/>
  <c r="AB50" i="1"/>
  <c r="Q50" i="1"/>
  <c r="U50" i="1"/>
  <c r="Y50" i="1"/>
  <c r="AC50" i="1"/>
  <c r="O34" i="1"/>
  <c r="S34" i="1"/>
  <c r="W34" i="1"/>
  <c r="AA34" i="1"/>
  <c r="P34" i="1"/>
  <c r="T34" i="1"/>
  <c r="X34" i="1"/>
  <c r="AB34" i="1"/>
  <c r="Q34" i="1"/>
  <c r="U34" i="1"/>
  <c r="Y34" i="1"/>
  <c r="AC34" i="1"/>
  <c r="R34" i="1"/>
  <c r="V34" i="1"/>
  <c r="Z34" i="1"/>
  <c r="N34" i="1"/>
  <c r="AD34" i="1"/>
  <c r="K30" i="1"/>
  <c r="L30" i="1"/>
  <c r="I30" i="1"/>
  <c r="J30" i="1"/>
  <c r="K46" i="1"/>
  <c r="L46" i="1"/>
  <c r="I46" i="1"/>
  <c r="J46" i="1"/>
  <c r="K21" i="1"/>
  <c r="L21" i="1"/>
  <c r="I21" i="1"/>
  <c r="J21" i="1"/>
  <c r="K6" i="1"/>
  <c r="L6" i="1"/>
  <c r="I6" i="1"/>
  <c r="J6" i="1"/>
  <c r="P96" i="1"/>
  <c r="AA96" i="1"/>
  <c r="AD96" i="1"/>
  <c r="N96" i="1"/>
  <c r="Q96" i="1"/>
  <c r="T80" i="1"/>
  <c r="O80" i="1"/>
  <c r="R80" i="1"/>
  <c r="U80" i="1"/>
  <c r="AB76" i="1"/>
  <c r="S76" i="1"/>
  <c r="V76" i="1"/>
  <c r="Y76" i="1"/>
  <c r="X68" i="1"/>
  <c r="S68" i="1"/>
  <c r="R68" i="1"/>
  <c r="O68" i="1"/>
  <c r="S60" i="1"/>
  <c r="AD60" i="1"/>
  <c r="N60" i="1"/>
  <c r="Q60" i="1"/>
  <c r="P60" i="1"/>
  <c r="J93" i="1"/>
  <c r="K61" i="1"/>
  <c r="P33" i="1"/>
  <c r="T33" i="1"/>
  <c r="X33" i="1"/>
  <c r="AB33" i="1"/>
  <c r="Q33" i="1"/>
  <c r="U33" i="1"/>
  <c r="Y33" i="1"/>
  <c r="AC33" i="1"/>
  <c r="N33" i="1"/>
  <c r="R33" i="1"/>
  <c r="V33" i="1"/>
  <c r="Z33" i="1"/>
  <c r="AD33" i="1"/>
  <c r="S33" i="1"/>
  <c r="W33" i="1"/>
  <c r="AA33" i="1"/>
  <c r="O33" i="1"/>
  <c r="L31" i="1"/>
  <c r="L39" i="1"/>
  <c r="L47" i="1"/>
  <c r="P88" i="1"/>
  <c r="S88" i="1"/>
  <c r="V88" i="1"/>
  <c r="Y88" i="1"/>
  <c r="X84" i="1"/>
  <c r="W84" i="1"/>
  <c r="Z84" i="1"/>
  <c r="AC84" i="1"/>
  <c r="X72" i="1"/>
  <c r="AA72" i="1"/>
  <c r="AD72" i="1"/>
  <c r="N72" i="1"/>
  <c r="Q72" i="1"/>
  <c r="S64" i="1"/>
  <c r="R64" i="1"/>
  <c r="U64" i="1"/>
  <c r="T64" i="1"/>
  <c r="O56" i="1"/>
  <c r="V56" i="1"/>
  <c r="Y56" i="1"/>
  <c r="X56" i="1"/>
  <c r="L97" i="1"/>
  <c r="K89" i="1"/>
  <c r="K81" i="1"/>
  <c r="L73" i="1"/>
  <c r="J65" i="1"/>
  <c r="I57" i="1"/>
  <c r="J27" i="1"/>
  <c r="N14" i="1"/>
  <c r="R14" i="1"/>
  <c r="V14" i="1"/>
  <c r="Z14" i="1"/>
  <c r="AD14" i="1"/>
  <c r="O14" i="1"/>
  <c r="S14" i="1"/>
  <c r="W14" i="1"/>
  <c r="AA14" i="1"/>
  <c r="P14" i="1"/>
  <c r="T14" i="1"/>
  <c r="X14" i="1"/>
  <c r="AB14" i="1"/>
  <c r="Q14" i="1"/>
  <c r="U14" i="1"/>
  <c r="Y14" i="1"/>
  <c r="AC14" i="1"/>
  <c r="X10" i="1"/>
  <c r="W10" i="1"/>
  <c r="Z10" i="1"/>
  <c r="S12" i="1"/>
  <c r="R12" i="1"/>
  <c r="U12" i="1"/>
  <c r="T12" i="1"/>
  <c r="Z49" i="1"/>
  <c r="Y49" i="1"/>
  <c r="X49" i="1"/>
  <c r="W49" i="1"/>
  <c r="N91" i="1"/>
  <c r="R91" i="1"/>
  <c r="V91" i="1"/>
  <c r="Z91" i="1"/>
  <c r="AD91" i="1"/>
  <c r="O91" i="1"/>
  <c r="S91" i="1"/>
  <c r="W91" i="1"/>
  <c r="AA91" i="1"/>
  <c r="P91" i="1"/>
  <c r="T91" i="1"/>
  <c r="X91" i="1"/>
  <c r="AB91" i="1"/>
  <c r="Y91" i="1"/>
  <c r="AC91" i="1"/>
  <c r="Q91" i="1"/>
  <c r="U91" i="1"/>
  <c r="J92" i="1"/>
  <c r="I92" i="1"/>
  <c r="K92" i="1"/>
  <c r="L92" i="1"/>
  <c r="K28" i="1"/>
  <c r="L28" i="1"/>
  <c r="I28" i="1"/>
  <c r="J28" i="1"/>
  <c r="K14" i="1"/>
  <c r="L14" i="1"/>
  <c r="I14" i="1"/>
  <c r="J14" i="1"/>
  <c r="N62" i="1"/>
  <c r="R62" i="1"/>
  <c r="V62" i="1"/>
  <c r="Z62" i="1"/>
  <c r="AD62" i="1"/>
  <c r="O62" i="1"/>
  <c r="S62" i="1"/>
  <c r="W62" i="1"/>
  <c r="AA62" i="1"/>
  <c r="P62" i="1"/>
  <c r="T62" i="1"/>
  <c r="X62" i="1"/>
  <c r="AB62" i="1"/>
  <c r="U62" i="1"/>
  <c r="Y62" i="1"/>
  <c r="AC62" i="1"/>
  <c r="Q62" i="1"/>
  <c r="K63" i="1"/>
  <c r="L63" i="1"/>
  <c r="I63" i="1"/>
  <c r="J63" i="1"/>
  <c r="AL39" i="1"/>
  <c r="AL38" i="1"/>
  <c r="Q43" i="1"/>
  <c r="U43" i="1"/>
  <c r="Y43" i="1"/>
  <c r="AC43" i="1"/>
  <c r="N43" i="1"/>
  <c r="R43" i="1"/>
  <c r="V43" i="1"/>
  <c r="Z43" i="1"/>
  <c r="AD43" i="1"/>
  <c r="O43" i="1"/>
  <c r="S43" i="1"/>
  <c r="W43" i="1"/>
  <c r="AA43" i="1"/>
  <c r="X43" i="1"/>
  <c r="AB43" i="1"/>
  <c r="P43" i="1"/>
  <c r="T43" i="1"/>
  <c r="K7" i="1"/>
  <c r="L7" i="1"/>
  <c r="I7" i="1"/>
  <c r="J7" i="1"/>
  <c r="AD92" i="1"/>
  <c r="P77" i="1"/>
  <c r="T77" i="1"/>
  <c r="X77" i="1"/>
  <c r="AB77" i="1"/>
  <c r="Q77" i="1"/>
  <c r="U77" i="1"/>
  <c r="Y77" i="1"/>
  <c r="AC77" i="1"/>
  <c r="N77" i="1"/>
  <c r="R77" i="1"/>
  <c r="V77" i="1"/>
  <c r="Z77" i="1"/>
  <c r="AD77" i="1"/>
  <c r="W77" i="1"/>
  <c r="AA77" i="1"/>
  <c r="O77" i="1"/>
  <c r="S77" i="1"/>
  <c r="J74" i="1"/>
  <c r="K74" i="1"/>
  <c r="I74" i="1"/>
  <c r="L74" i="1"/>
  <c r="K42" i="1"/>
  <c r="L42" i="1"/>
  <c r="I42" i="1"/>
  <c r="J42" i="1"/>
  <c r="K93" i="1"/>
  <c r="K77" i="1"/>
  <c r="P37" i="1"/>
  <c r="T37" i="1"/>
  <c r="X37" i="1"/>
  <c r="AB37" i="1"/>
  <c r="Q37" i="1"/>
  <c r="U37" i="1"/>
  <c r="Y37" i="1"/>
  <c r="AC37" i="1"/>
  <c r="N37" i="1"/>
  <c r="R37" i="1"/>
  <c r="V37" i="1"/>
  <c r="Z37" i="1"/>
  <c r="AD37" i="1"/>
  <c r="O37" i="1"/>
  <c r="S37" i="1"/>
  <c r="W37" i="1"/>
  <c r="AA37" i="1"/>
  <c r="K11" i="1"/>
  <c r="L11" i="1"/>
  <c r="I11" i="1"/>
  <c r="J11" i="1"/>
  <c r="K43" i="1"/>
  <c r="N99" i="1"/>
  <c r="R99" i="1"/>
  <c r="V99" i="1"/>
  <c r="Z99" i="1"/>
  <c r="AD99" i="1"/>
  <c r="O99" i="1"/>
  <c r="S99" i="1"/>
  <c r="W99" i="1"/>
  <c r="AA99" i="1"/>
  <c r="P99" i="1"/>
  <c r="T99" i="1"/>
  <c r="X99" i="1"/>
  <c r="AB99" i="1"/>
  <c r="Q99" i="1"/>
  <c r="U99" i="1"/>
  <c r="Y99" i="1"/>
  <c r="AC99" i="1"/>
  <c r="N83" i="1"/>
  <c r="R83" i="1"/>
  <c r="V83" i="1"/>
  <c r="Z83" i="1"/>
  <c r="AD83" i="1"/>
  <c r="O83" i="1"/>
  <c r="S83" i="1"/>
  <c r="W83" i="1"/>
  <c r="AA83" i="1"/>
  <c r="P83" i="1"/>
  <c r="T83" i="1"/>
  <c r="X83" i="1"/>
  <c r="AB83" i="1"/>
  <c r="Q83" i="1"/>
  <c r="U83" i="1"/>
  <c r="Y83" i="1"/>
  <c r="AC83" i="1"/>
  <c r="Q67" i="1"/>
  <c r="U67" i="1"/>
  <c r="Y67" i="1"/>
  <c r="AC67" i="1"/>
  <c r="N67" i="1"/>
  <c r="R67" i="1"/>
  <c r="V67" i="1"/>
  <c r="Z67" i="1"/>
  <c r="AD67" i="1"/>
  <c r="O67" i="1"/>
  <c r="S67" i="1"/>
  <c r="W67" i="1"/>
  <c r="AA67" i="1"/>
  <c r="P67" i="1"/>
  <c r="T67" i="1"/>
  <c r="X67" i="1"/>
  <c r="AB67" i="1"/>
  <c r="J100" i="1"/>
  <c r="K100" i="1"/>
  <c r="L100" i="1"/>
  <c r="I100" i="1"/>
  <c r="J84" i="1"/>
  <c r="K84" i="1"/>
  <c r="L84" i="1"/>
  <c r="I84" i="1"/>
  <c r="J68" i="1"/>
  <c r="I68" i="1"/>
  <c r="K68" i="1"/>
  <c r="L68" i="1"/>
  <c r="P44" i="1"/>
  <c r="T44" i="1"/>
  <c r="X44" i="1"/>
  <c r="AB44" i="1"/>
  <c r="Q44" i="1"/>
  <c r="U44" i="1"/>
  <c r="Y44" i="1"/>
  <c r="AC44" i="1"/>
  <c r="N44" i="1"/>
  <c r="R44" i="1"/>
  <c r="V44" i="1"/>
  <c r="Z44" i="1"/>
  <c r="AD44" i="1"/>
  <c r="W44" i="1"/>
  <c r="AA44" i="1"/>
  <c r="O44" i="1"/>
  <c r="S44" i="1"/>
  <c r="Q28" i="1"/>
  <c r="U28" i="1"/>
  <c r="Y28" i="1"/>
  <c r="AC28" i="1"/>
  <c r="N28" i="1"/>
  <c r="R28" i="1"/>
  <c r="V28" i="1"/>
  <c r="Z28" i="1"/>
  <c r="AD28" i="1"/>
  <c r="O28" i="1"/>
  <c r="S28" i="1"/>
  <c r="W28" i="1"/>
  <c r="AA28" i="1"/>
  <c r="X28" i="1"/>
  <c r="AB28" i="1"/>
  <c r="P28" i="1"/>
  <c r="T28" i="1"/>
  <c r="K36" i="1"/>
  <c r="L36" i="1"/>
  <c r="I36" i="1"/>
  <c r="J36" i="1"/>
  <c r="K52" i="1"/>
  <c r="L52" i="1"/>
  <c r="I52" i="1"/>
  <c r="J52" i="1"/>
  <c r="K15" i="1"/>
  <c r="L15" i="1"/>
  <c r="I15" i="1"/>
  <c r="J15" i="1"/>
  <c r="K12" i="1"/>
  <c r="L12" i="1"/>
  <c r="I12" i="1"/>
  <c r="J12" i="1"/>
  <c r="O86" i="1"/>
  <c r="S86" i="1"/>
  <c r="W86" i="1"/>
  <c r="AA86" i="1"/>
  <c r="P86" i="1"/>
  <c r="T86" i="1"/>
  <c r="X86" i="1"/>
  <c r="AB86" i="1"/>
  <c r="Q86" i="1"/>
  <c r="U86" i="1"/>
  <c r="Y86" i="1"/>
  <c r="AC86" i="1"/>
  <c r="N86" i="1"/>
  <c r="AD86" i="1"/>
  <c r="R86" i="1"/>
  <c r="V86" i="1"/>
  <c r="Z86" i="1"/>
  <c r="O70" i="1"/>
  <c r="S70" i="1"/>
  <c r="W70" i="1"/>
  <c r="AA70" i="1"/>
  <c r="P70" i="1"/>
  <c r="T70" i="1"/>
  <c r="X70" i="1"/>
  <c r="AB70" i="1"/>
  <c r="Q70" i="1"/>
  <c r="U70" i="1"/>
  <c r="Y70" i="1"/>
  <c r="AC70" i="1"/>
  <c r="N70" i="1"/>
  <c r="AD70" i="1"/>
  <c r="R70" i="1"/>
  <c r="V70" i="1"/>
  <c r="Z70" i="1"/>
  <c r="N54" i="1"/>
  <c r="R54" i="1"/>
  <c r="V54" i="1"/>
  <c r="Z54" i="1"/>
  <c r="AD54" i="1"/>
  <c r="O54" i="1"/>
  <c r="S54" i="1"/>
  <c r="W54" i="1"/>
  <c r="AA54" i="1"/>
  <c r="P54" i="1"/>
  <c r="T54" i="1"/>
  <c r="X54" i="1"/>
  <c r="AB54" i="1"/>
  <c r="AC54" i="1"/>
  <c r="Q54" i="1"/>
  <c r="U54" i="1"/>
  <c r="Y54" i="1"/>
  <c r="J87" i="1"/>
  <c r="K87" i="1"/>
  <c r="L87" i="1"/>
  <c r="I87" i="1"/>
  <c r="J71" i="1"/>
  <c r="K71" i="1"/>
  <c r="I71" i="1"/>
  <c r="L71" i="1"/>
  <c r="K55" i="1"/>
  <c r="L55" i="1"/>
  <c r="I55" i="1"/>
  <c r="J55" i="1"/>
  <c r="Q51" i="1"/>
  <c r="U51" i="1"/>
  <c r="Y51" i="1"/>
  <c r="AC51" i="1"/>
  <c r="N51" i="1"/>
  <c r="R51" i="1"/>
  <c r="V51" i="1"/>
  <c r="Z51" i="1"/>
  <c r="AD51" i="1"/>
  <c r="O51" i="1"/>
  <c r="S51" i="1"/>
  <c r="W51" i="1"/>
  <c r="AA51" i="1"/>
  <c r="P51" i="1"/>
  <c r="T51" i="1"/>
  <c r="X51" i="1"/>
  <c r="AB51" i="1"/>
  <c r="N35" i="1"/>
  <c r="R35" i="1"/>
  <c r="V35" i="1"/>
  <c r="Z35" i="1"/>
  <c r="AD35" i="1"/>
  <c r="O35" i="1"/>
  <c r="S35" i="1"/>
  <c r="W35" i="1"/>
  <c r="AA35" i="1"/>
  <c r="P35" i="1"/>
  <c r="T35" i="1"/>
  <c r="X35" i="1"/>
  <c r="AB35" i="1"/>
  <c r="Q35" i="1"/>
  <c r="U35" i="1"/>
  <c r="Y35" i="1"/>
  <c r="AC35" i="1"/>
  <c r="K33" i="1"/>
  <c r="L33" i="1"/>
  <c r="I33" i="1"/>
  <c r="J33" i="1"/>
  <c r="K49" i="1"/>
  <c r="L49" i="1"/>
  <c r="I49" i="1"/>
  <c r="J49" i="1"/>
  <c r="Q20" i="1"/>
  <c r="U20" i="1"/>
  <c r="Y20" i="1"/>
  <c r="AC20" i="1"/>
  <c r="N20" i="1"/>
  <c r="R20" i="1"/>
  <c r="V20" i="1"/>
  <c r="Z20" i="1"/>
  <c r="AD20" i="1"/>
  <c r="O20" i="1"/>
  <c r="S20" i="1"/>
  <c r="W20" i="1"/>
  <c r="AA20" i="1"/>
  <c r="P20" i="1"/>
  <c r="T20" i="1"/>
  <c r="X20" i="1"/>
  <c r="AB20" i="1"/>
  <c r="AB92" i="1"/>
  <c r="S92" i="1"/>
  <c r="V92" i="1"/>
  <c r="Y92" i="1"/>
  <c r="P101" i="1"/>
  <c r="T101" i="1"/>
  <c r="X101" i="1"/>
  <c r="AB101" i="1"/>
  <c r="Q101" i="1"/>
  <c r="U101" i="1"/>
  <c r="Y101" i="1"/>
  <c r="AC101" i="1"/>
  <c r="N101" i="1"/>
  <c r="R101" i="1"/>
  <c r="V101" i="1"/>
  <c r="Z101" i="1"/>
  <c r="AD101" i="1"/>
  <c r="O101" i="1"/>
  <c r="S101" i="1"/>
  <c r="W101" i="1"/>
  <c r="AA101" i="1"/>
  <c r="P85" i="1"/>
  <c r="T85" i="1"/>
  <c r="X85" i="1"/>
  <c r="AB85" i="1"/>
  <c r="Q85" i="1"/>
  <c r="U85" i="1"/>
  <c r="Y85" i="1"/>
  <c r="AC85" i="1"/>
  <c r="N85" i="1"/>
  <c r="R85" i="1"/>
  <c r="V85" i="1"/>
  <c r="Z85" i="1"/>
  <c r="AD85" i="1"/>
  <c r="O85" i="1"/>
  <c r="S85" i="1"/>
  <c r="W85" i="1"/>
  <c r="AA85" i="1"/>
  <c r="P69" i="1"/>
  <c r="T69" i="1"/>
  <c r="X69" i="1"/>
  <c r="AB69" i="1"/>
  <c r="Q69" i="1"/>
  <c r="U69" i="1"/>
  <c r="Y69" i="1"/>
  <c r="AC69" i="1"/>
  <c r="N69" i="1"/>
  <c r="R69" i="1"/>
  <c r="V69" i="1"/>
  <c r="Z69" i="1"/>
  <c r="AD69" i="1"/>
  <c r="O69" i="1"/>
  <c r="S69" i="1"/>
  <c r="W69" i="1"/>
  <c r="AA69" i="1"/>
  <c r="J98" i="1"/>
  <c r="K98" i="1"/>
  <c r="I98" i="1"/>
  <c r="L98" i="1"/>
  <c r="J82" i="1"/>
  <c r="K82" i="1"/>
  <c r="L82" i="1"/>
  <c r="I82" i="1"/>
  <c r="J66" i="1"/>
  <c r="K66" i="1"/>
  <c r="I66" i="1"/>
  <c r="L66" i="1"/>
  <c r="N46" i="1"/>
  <c r="R46" i="1"/>
  <c r="V46" i="1"/>
  <c r="Z46" i="1"/>
  <c r="AD46" i="1"/>
  <c r="O46" i="1"/>
  <c r="S46" i="1"/>
  <c r="W46" i="1"/>
  <c r="AA46" i="1"/>
  <c r="P46" i="1"/>
  <c r="T46" i="1"/>
  <c r="X46" i="1"/>
  <c r="AB46" i="1"/>
  <c r="U46" i="1"/>
  <c r="Y46" i="1"/>
  <c r="AC46" i="1"/>
  <c r="Q46" i="1"/>
  <c r="O30" i="1"/>
  <c r="S30" i="1"/>
  <c r="W30" i="1"/>
  <c r="AA30" i="1"/>
  <c r="P30" i="1"/>
  <c r="T30" i="1"/>
  <c r="X30" i="1"/>
  <c r="AB30" i="1"/>
  <c r="Q30" i="1"/>
  <c r="U30" i="1"/>
  <c r="Y30" i="1"/>
  <c r="AC30" i="1"/>
  <c r="V30" i="1"/>
  <c r="Z30" i="1"/>
  <c r="N30" i="1"/>
  <c r="AD30" i="1"/>
  <c r="R30" i="1"/>
  <c r="K34" i="1"/>
  <c r="L34" i="1"/>
  <c r="I34" i="1"/>
  <c r="J34" i="1"/>
  <c r="K50" i="1"/>
  <c r="L50" i="1"/>
  <c r="I50" i="1"/>
  <c r="J50" i="1"/>
  <c r="N19" i="1"/>
  <c r="R19" i="1"/>
  <c r="V19" i="1"/>
  <c r="Z19" i="1"/>
  <c r="AD19" i="1"/>
  <c r="O19" i="1"/>
  <c r="S19" i="1"/>
  <c r="W19" i="1"/>
  <c r="AA19" i="1"/>
  <c r="P19" i="1"/>
  <c r="T19" i="1"/>
  <c r="X19" i="1"/>
  <c r="AB19" i="1"/>
  <c r="Q19" i="1"/>
  <c r="U19" i="1"/>
  <c r="Y19" i="1"/>
  <c r="AC19" i="1"/>
  <c r="AB96" i="1"/>
  <c r="W96" i="1"/>
  <c r="Z96" i="1"/>
  <c r="AC96" i="1"/>
  <c r="P80" i="1"/>
  <c r="AA80" i="1"/>
  <c r="AD80" i="1"/>
  <c r="N80" i="1"/>
  <c r="Q80" i="1"/>
  <c r="X76" i="1"/>
  <c r="O76" i="1"/>
  <c r="R76" i="1"/>
  <c r="U76" i="1"/>
  <c r="T68" i="1"/>
  <c r="AD68" i="1"/>
  <c r="AC68" i="1"/>
  <c r="N68" i="1"/>
  <c r="O60" i="1"/>
  <c r="Z60" i="1"/>
  <c r="AC60" i="1"/>
  <c r="AB60" i="1"/>
  <c r="L101" i="1"/>
  <c r="I93" i="1"/>
  <c r="L85" i="1"/>
  <c r="L77" i="1"/>
  <c r="L69" i="1"/>
  <c r="P25" i="1"/>
  <c r="T25" i="1"/>
  <c r="X25" i="1"/>
  <c r="AB25" i="1"/>
  <c r="Q25" i="1"/>
  <c r="U25" i="1"/>
  <c r="Y25" i="1"/>
  <c r="AC25" i="1"/>
  <c r="N25" i="1"/>
  <c r="R25" i="1"/>
  <c r="V25" i="1"/>
  <c r="Z25" i="1"/>
  <c r="AD25" i="1"/>
  <c r="AA25" i="1"/>
  <c r="O25" i="1"/>
  <c r="S25" i="1"/>
  <c r="W25" i="1"/>
  <c r="K39" i="1"/>
  <c r="K51" i="1"/>
  <c r="AB88" i="1"/>
  <c r="O88" i="1"/>
  <c r="R88" i="1"/>
  <c r="U88" i="1"/>
  <c r="T84" i="1"/>
  <c r="S84" i="1"/>
  <c r="V84" i="1"/>
  <c r="Y84" i="1"/>
  <c r="T72" i="1"/>
  <c r="W72" i="1"/>
  <c r="Z72" i="1"/>
  <c r="AC72" i="1"/>
  <c r="O64" i="1"/>
  <c r="AD64" i="1"/>
  <c r="N64" i="1"/>
  <c r="Q64" i="1"/>
  <c r="P64" i="1"/>
  <c r="AA56" i="1"/>
  <c r="R56" i="1"/>
  <c r="U56" i="1"/>
  <c r="T56" i="1"/>
  <c r="I89" i="1"/>
  <c r="K73" i="1"/>
  <c r="L57" i="1"/>
  <c r="I27" i="1"/>
  <c r="I35" i="1"/>
  <c r="I43" i="1"/>
  <c r="K18" i="1"/>
  <c r="L18" i="1"/>
  <c r="I18" i="1"/>
  <c r="J18" i="1"/>
  <c r="Y10" i="1"/>
  <c r="T10" i="1"/>
  <c r="S10" i="1"/>
  <c r="V10" i="1"/>
  <c r="J25" i="1"/>
  <c r="O12" i="1"/>
  <c r="AD12" i="1"/>
  <c r="N12" i="1"/>
  <c r="Q12" i="1"/>
  <c r="P12" i="1"/>
  <c r="V49" i="1"/>
  <c r="U49" i="1"/>
  <c r="T49" i="1"/>
  <c r="S49" i="1"/>
  <c r="N75" i="1"/>
  <c r="R75" i="1"/>
  <c r="V75" i="1"/>
  <c r="Z75" i="1"/>
  <c r="AD75" i="1"/>
  <c r="O75" i="1"/>
  <c r="S75" i="1"/>
  <c r="W75" i="1"/>
  <c r="AA75" i="1"/>
  <c r="P75" i="1"/>
  <c r="T75" i="1"/>
  <c r="X75" i="1"/>
  <c r="AB75" i="1"/>
  <c r="Y75" i="1"/>
  <c r="AC75" i="1"/>
  <c r="Q75" i="1"/>
  <c r="U75" i="1"/>
  <c r="J76" i="1"/>
  <c r="K76" i="1"/>
  <c r="L76" i="1"/>
  <c r="I76" i="1"/>
  <c r="P52" i="1"/>
  <c r="T52" i="1"/>
  <c r="X52" i="1"/>
  <c r="AB52" i="1"/>
  <c r="Q52" i="1"/>
  <c r="U52" i="1"/>
  <c r="Y52" i="1"/>
  <c r="AC52" i="1"/>
  <c r="N52" i="1"/>
  <c r="R52" i="1"/>
  <c r="V52" i="1"/>
  <c r="Z52" i="1"/>
  <c r="AD52" i="1"/>
  <c r="O52" i="1"/>
  <c r="S52" i="1"/>
  <c r="W52" i="1"/>
  <c r="AA52" i="1"/>
  <c r="K44" i="1"/>
  <c r="L44" i="1"/>
  <c r="I44" i="1"/>
  <c r="J44" i="1"/>
  <c r="O78" i="1"/>
  <c r="S78" i="1"/>
  <c r="W78" i="1"/>
  <c r="AA78" i="1"/>
  <c r="P78" i="1"/>
  <c r="T78" i="1"/>
  <c r="X78" i="1"/>
  <c r="AB78" i="1"/>
  <c r="Q78" i="1"/>
  <c r="U78" i="1"/>
  <c r="Y78" i="1"/>
  <c r="AC78" i="1"/>
  <c r="V78" i="1"/>
  <c r="Z78" i="1"/>
  <c r="N78" i="1"/>
  <c r="AD78" i="1"/>
  <c r="R78" i="1"/>
  <c r="J79" i="1"/>
  <c r="K79" i="1"/>
  <c r="L79" i="1"/>
  <c r="I79" i="1"/>
  <c r="K41" i="1"/>
  <c r="L41" i="1"/>
  <c r="I41" i="1"/>
  <c r="J41" i="1"/>
  <c r="N92" i="1"/>
  <c r="Q92" i="1"/>
  <c r="O61" i="1"/>
  <c r="S61" i="1"/>
  <c r="W61" i="1"/>
  <c r="AA61" i="1"/>
  <c r="P61" i="1"/>
  <c r="T61" i="1"/>
  <c r="X61" i="1"/>
  <c r="AB61" i="1"/>
  <c r="Q61" i="1"/>
  <c r="U61" i="1"/>
  <c r="Y61" i="1"/>
  <c r="AC61" i="1"/>
  <c r="V61" i="1"/>
  <c r="Z61" i="1"/>
  <c r="N61" i="1"/>
  <c r="AD61" i="1"/>
  <c r="R61" i="1"/>
  <c r="K58" i="1"/>
  <c r="L58" i="1"/>
  <c r="I58" i="1"/>
  <c r="J58" i="1"/>
  <c r="N38" i="1"/>
  <c r="R38" i="1"/>
  <c r="V38" i="1"/>
  <c r="Z38" i="1"/>
  <c r="AD38" i="1"/>
  <c r="O38" i="1"/>
  <c r="S38" i="1"/>
  <c r="W38" i="1"/>
  <c r="AA38" i="1"/>
  <c r="P38" i="1"/>
  <c r="T38" i="1"/>
  <c r="X38" i="1"/>
  <c r="AB38" i="1"/>
  <c r="AC38" i="1"/>
  <c r="Q38" i="1"/>
  <c r="U38" i="1"/>
  <c r="Y38" i="1"/>
  <c r="P76" i="1"/>
  <c r="W76" i="1"/>
  <c r="Z76" i="1"/>
  <c r="AC76" i="1"/>
  <c r="W60" i="1"/>
  <c r="K27" i="1"/>
  <c r="N18" i="1"/>
  <c r="R18" i="1"/>
  <c r="V18" i="1"/>
  <c r="Z18" i="1"/>
  <c r="AD18" i="1"/>
  <c r="O18" i="1"/>
  <c r="S18" i="1"/>
  <c r="W18" i="1"/>
  <c r="AA18" i="1"/>
  <c r="P18" i="1"/>
  <c r="T18" i="1"/>
  <c r="X18" i="1"/>
  <c r="AB18" i="1"/>
  <c r="AC18" i="1"/>
  <c r="Q18" i="1"/>
  <c r="Y18" i="1"/>
  <c r="U18" i="1"/>
  <c r="N95" i="1"/>
  <c r="R95" i="1"/>
  <c r="V95" i="1"/>
  <c r="Z95" i="1"/>
  <c r="AD95" i="1"/>
  <c r="O95" i="1"/>
  <c r="S95" i="1"/>
  <c r="W95" i="1"/>
  <c r="AA95" i="1"/>
  <c r="P95" i="1"/>
  <c r="T95" i="1"/>
  <c r="X95" i="1"/>
  <c r="AB95" i="1"/>
  <c r="U95" i="1"/>
  <c r="Y95" i="1"/>
  <c r="AC95" i="1"/>
  <c r="Q95" i="1"/>
  <c r="N79" i="1"/>
  <c r="R79" i="1"/>
  <c r="V79" i="1"/>
  <c r="Z79" i="1"/>
  <c r="AD79" i="1"/>
  <c r="O79" i="1"/>
  <c r="S79" i="1"/>
  <c r="W79" i="1"/>
  <c r="AA79" i="1"/>
  <c r="P79" i="1"/>
  <c r="T79" i="1"/>
  <c r="X79" i="1"/>
  <c r="AB79" i="1"/>
  <c r="U79" i="1"/>
  <c r="Y79" i="1"/>
  <c r="AC79" i="1"/>
  <c r="Q79" i="1"/>
  <c r="Q63" i="1"/>
  <c r="U63" i="1"/>
  <c r="Y63" i="1"/>
  <c r="AC63" i="1"/>
  <c r="N63" i="1"/>
  <c r="R63" i="1"/>
  <c r="V63" i="1"/>
  <c r="Z63" i="1"/>
  <c r="AD63" i="1"/>
  <c r="O63" i="1"/>
  <c r="S63" i="1"/>
  <c r="W63" i="1"/>
  <c r="AA63" i="1"/>
  <c r="T63" i="1"/>
  <c r="X63" i="1"/>
  <c r="AB63" i="1"/>
  <c r="P63" i="1"/>
  <c r="J96" i="1"/>
  <c r="K96" i="1"/>
  <c r="L96" i="1"/>
  <c r="I96" i="1"/>
  <c r="J80" i="1"/>
  <c r="K80" i="1"/>
  <c r="I80" i="1"/>
  <c r="L80" i="1"/>
  <c r="K64" i="1"/>
  <c r="L64" i="1"/>
  <c r="I64" i="1"/>
  <c r="J64" i="1"/>
  <c r="P40" i="1"/>
  <c r="T40" i="1"/>
  <c r="X40" i="1"/>
  <c r="AB40" i="1"/>
  <c r="Q40" i="1"/>
  <c r="U40" i="1"/>
  <c r="Y40" i="1"/>
  <c r="AC40" i="1"/>
  <c r="N40" i="1"/>
  <c r="R40" i="1"/>
  <c r="V40" i="1"/>
  <c r="Z40" i="1"/>
  <c r="AD40" i="1"/>
  <c r="AA40" i="1"/>
  <c r="O40" i="1"/>
  <c r="S40" i="1"/>
  <c r="W40" i="1"/>
  <c r="Q24" i="1"/>
  <c r="U24" i="1"/>
  <c r="Y24" i="1"/>
  <c r="AC24" i="1"/>
  <c r="N24" i="1"/>
  <c r="R24" i="1"/>
  <c r="V24" i="1"/>
  <c r="Z24" i="1"/>
  <c r="AD24" i="1"/>
  <c r="O24" i="1"/>
  <c r="S24" i="1"/>
  <c r="W24" i="1"/>
  <c r="AA24" i="1"/>
  <c r="AB24" i="1"/>
  <c r="P24" i="1"/>
  <c r="T24" i="1"/>
  <c r="X24" i="1"/>
  <c r="K40" i="1"/>
  <c r="L40" i="1"/>
  <c r="I40" i="1"/>
  <c r="J40" i="1"/>
  <c r="K19" i="1"/>
  <c r="L19" i="1"/>
  <c r="I19" i="1"/>
  <c r="J19" i="1"/>
  <c r="N6" i="1"/>
  <c r="R6" i="1"/>
  <c r="V6" i="1"/>
  <c r="Z6" i="1"/>
  <c r="AD6" i="1"/>
  <c r="O6" i="1"/>
  <c r="S6" i="1"/>
  <c r="W6" i="1"/>
  <c r="AA6" i="1"/>
  <c r="P6" i="1"/>
  <c r="T6" i="1"/>
  <c r="X6" i="1"/>
  <c r="AB6" i="1"/>
  <c r="Y6" i="1"/>
  <c r="AC6" i="1"/>
  <c r="Q6" i="1"/>
  <c r="U6" i="1"/>
  <c r="O98" i="1"/>
  <c r="S98" i="1"/>
  <c r="W98" i="1"/>
  <c r="AA98" i="1"/>
  <c r="P98" i="1"/>
  <c r="T98" i="1"/>
  <c r="X98" i="1"/>
  <c r="AB98" i="1"/>
  <c r="Q98" i="1"/>
  <c r="U98" i="1"/>
  <c r="Y98" i="1"/>
  <c r="AC98" i="1"/>
  <c r="R98" i="1"/>
  <c r="V98" i="1"/>
  <c r="Z98" i="1"/>
  <c r="N98" i="1"/>
  <c r="AD98" i="1"/>
  <c r="O82" i="1"/>
  <c r="S82" i="1"/>
  <c r="W82" i="1"/>
  <c r="AA82" i="1"/>
  <c r="P82" i="1"/>
  <c r="T82" i="1"/>
  <c r="X82" i="1"/>
  <c r="AB82" i="1"/>
  <c r="Q82" i="1"/>
  <c r="U82" i="1"/>
  <c r="Y82" i="1"/>
  <c r="AC82" i="1"/>
  <c r="R82" i="1"/>
  <c r="V82" i="1"/>
  <c r="Z82" i="1"/>
  <c r="AD82" i="1"/>
  <c r="N82" i="1"/>
  <c r="N66" i="1"/>
  <c r="R66" i="1"/>
  <c r="V66" i="1"/>
  <c r="Z66" i="1"/>
  <c r="AD66" i="1"/>
  <c r="O66" i="1"/>
  <c r="S66" i="1"/>
  <c r="W66" i="1"/>
  <c r="AA66" i="1"/>
  <c r="P66" i="1"/>
  <c r="T66" i="1"/>
  <c r="X66" i="1"/>
  <c r="AB66" i="1"/>
  <c r="Q66" i="1"/>
  <c r="U66" i="1"/>
  <c r="Y66" i="1"/>
  <c r="AC66" i="1"/>
  <c r="J99" i="1"/>
  <c r="I99" i="1"/>
  <c r="K99" i="1"/>
  <c r="L99" i="1"/>
  <c r="J83" i="1"/>
  <c r="K83" i="1"/>
  <c r="I83" i="1"/>
  <c r="L83" i="1"/>
  <c r="J67" i="1"/>
  <c r="K67" i="1"/>
  <c r="L67" i="1"/>
  <c r="I67" i="1"/>
  <c r="Q47" i="1"/>
  <c r="U47" i="1"/>
  <c r="Y47" i="1"/>
  <c r="AC47" i="1"/>
  <c r="N47" i="1"/>
  <c r="R47" i="1"/>
  <c r="V47" i="1"/>
  <c r="Z47" i="1"/>
  <c r="AD47" i="1"/>
  <c r="O47" i="1"/>
  <c r="S47" i="1"/>
  <c r="W47" i="1"/>
  <c r="AA47" i="1"/>
  <c r="T47" i="1"/>
  <c r="X47" i="1"/>
  <c r="AB47" i="1"/>
  <c r="P47" i="1"/>
  <c r="N31" i="1"/>
  <c r="R31" i="1"/>
  <c r="V31" i="1"/>
  <c r="Z31" i="1"/>
  <c r="AD31" i="1"/>
  <c r="O31" i="1"/>
  <c r="S31" i="1"/>
  <c r="W31" i="1"/>
  <c r="AA31" i="1"/>
  <c r="P31" i="1"/>
  <c r="T31" i="1"/>
  <c r="X31" i="1"/>
  <c r="AB31" i="1"/>
  <c r="U31" i="1"/>
  <c r="Y31" i="1"/>
  <c r="AC31" i="1"/>
  <c r="Q31" i="1"/>
  <c r="K37" i="1"/>
  <c r="L37" i="1"/>
  <c r="I37" i="1"/>
  <c r="J37" i="1"/>
  <c r="K24" i="1"/>
  <c r="L24" i="1"/>
  <c r="I24" i="1"/>
  <c r="J24" i="1"/>
  <c r="P16" i="1"/>
  <c r="T16" i="1"/>
  <c r="X16" i="1"/>
  <c r="AB16" i="1"/>
  <c r="Q16" i="1"/>
  <c r="U16" i="1"/>
  <c r="Y16" i="1"/>
  <c r="AC16" i="1"/>
  <c r="N16" i="1"/>
  <c r="R16" i="1"/>
  <c r="V16" i="1"/>
  <c r="Z16" i="1"/>
  <c r="AD16" i="1"/>
  <c r="O16" i="1"/>
  <c r="S16" i="1"/>
  <c r="W16" i="1"/>
  <c r="AA16" i="1"/>
  <c r="K9" i="1"/>
  <c r="L9" i="1"/>
  <c r="I9" i="1"/>
  <c r="J9" i="1"/>
  <c r="X92" i="1"/>
  <c r="O92" i="1"/>
  <c r="R92" i="1"/>
  <c r="P97" i="1"/>
  <c r="T97" i="1"/>
  <c r="X97" i="1"/>
  <c r="AB97" i="1"/>
  <c r="Q97" i="1"/>
  <c r="U97" i="1"/>
  <c r="Y97" i="1"/>
  <c r="AC97" i="1"/>
  <c r="N97" i="1"/>
  <c r="R97" i="1"/>
  <c r="V97" i="1"/>
  <c r="Z97" i="1"/>
  <c r="AD97" i="1"/>
  <c r="S97" i="1"/>
  <c r="W97" i="1"/>
  <c r="AA97" i="1"/>
  <c r="O97" i="1"/>
  <c r="P81" i="1"/>
  <c r="T81" i="1"/>
  <c r="X81" i="1"/>
  <c r="AB81" i="1"/>
  <c r="Q81" i="1"/>
  <c r="U81" i="1"/>
  <c r="Y81" i="1"/>
  <c r="AC81" i="1"/>
  <c r="N81" i="1"/>
  <c r="R81" i="1"/>
  <c r="V81" i="1"/>
  <c r="Z81" i="1"/>
  <c r="AD81" i="1"/>
  <c r="S81" i="1"/>
  <c r="W81" i="1"/>
  <c r="AA81" i="1"/>
  <c r="O81" i="1"/>
  <c r="O65" i="1"/>
  <c r="S65" i="1"/>
  <c r="W65" i="1"/>
  <c r="AA65" i="1"/>
  <c r="P65" i="1"/>
  <c r="T65" i="1"/>
  <c r="X65" i="1"/>
  <c r="AB65" i="1"/>
  <c r="Q65" i="1"/>
  <c r="U65" i="1"/>
  <c r="Y65" i="1"/>
  <c r="AC65" i="1"/>
  <c r="R65" i="1"/>
  <c r="V65" i="1"/>
  <c r="Z65" i="1"/>
  <c r="N65" i="1"/>
  <c r="AD65" i="1"/>
  <c r="J94" i="1"/>
  <c r="I94" i="1"/>
  <c r="K94" i="1"/>
  <c r="L94" i="1"/>
  <c r="J78" i="1"/>
  <c r="I78" i="1"/>
  <c r="K78" i="1"/>
  <c r="L78" i="1"/>
  <c r="K62" i="1"/>
  <c r="L62" i="1"/>
  <c r="I62" i="1"/>
  <c r="J62" i="1"/>
  <c r="N42" i="1"/>
  <c r="R42" i="1"/>
  <c r="V42" i="1"/>
  <c r="Z42" i="1"/>
  <c r="AD42" i="1"/>
  <c r="O42" i="1"/>
  <c r="S42" i="1"/>
  <c r="W42" i="1"/>
  <c r="AA42" i="1"/>
  <c r="P42" i="1"/>
  <c r="T42" i="1"/>
  <c r="X42" i="1"/>
  <c r="AB42" i="1"/>
  <c r="Y42" i="1"/>
  <c r="AC42" i="1"/>
  <c r="Q42" i="1"/>
  <c r="U42" i="1"/>
  <c r="O26" i="1"/>
  <c r="S26" i="1"/>
  <c r="W26" i="1"/>
  <c r="AA26" i="1"/>
  <c r="P26" i="1"/>
  <c r="T26" i="1"/>
  <c r="X26" i="1"/>
  <c r="AB26" i="1"/>
  <c r="Q26" i="1"/>
  <c r="U26" i="1"/>
  <c r="Y26" i="1"/>
  <c r="AC26" i="1"/>
  <c r="Z26" i="1"/>
  <c r="N26" i="1"/>
  <c r="AD26" i="1"/>
  <c r="R26" i="1"/>
  <c r="V26" i="1"/>
  <c r="K38" i="1"/>
  <c r="L38" i="1"/>
  <c r="I38" i="1"/>
  <c r="J38" i="1"/>
  <c r="Q15" i="1"/>
  <c r="U15" i="1"/>
  <c r="Y15" i="1"/>
  <c r="AC15" i="1"/>
  <c r="N15" i="1"/>
  <c r="R15" i="1"/>
  <c r="V15" i="1"/>
  <c r="Z15" i="1"/>
  <c r="AD15" i="1"/>
  <c r="O15" i="1"/>
  <c r="S15" i="1"/>
  <c r="W15" i="1"/>
  <c r="AA15" i="1"/>
  <c r="P15" i="1"/>
  <c r="T15" i="1"/>
  <c r="AB15" i="1"/>
  <c r="X15" i="1"/>
  <c r="Q11" i="1"/>
  <c r="U11" i="1"/>
  <c r="Y11" i="1"/>
  <c r="AC11" i="1"/>
  <c r="N11" i="1"/>
  <c r="R11" i="1"/>
  <c r="V11" i="1"/>
  <c r="Z11" i="1"/>
  <c r="AD11" i="1"/>
  <c r="O11" i="1"/>
  <c r="S11" i="1"/>
  <c r="W11" i="1"/>
  <c r="AA11" i="1"/>
  <c r="T11" i="1"/>
  <c r="P11" i="1"/>
  <c r="X11" i="1"/>
  <c r="AB11" i="1"/>
  <c r="X96" i="1"/>
  <c r="S96" i="1"/>
  <c r="V96" i="1"/>
  <c r="AB80" i="1"/>
  <c r="W80" i="1"/>
  <c r="Z80" i="1"/>
  <c r="T76" i="1"/>
  <c r="AA76" i="1"/>
  <c r="AD76" i="1"/>
  <c r="N76" i="1"/>
  <c r="AA68" i="1"/>
  <c r="Z68" i="1"/>
  <c r="Y68" i="1"/>
  <c r="AA60" i="1"/>
  <c r="V60" i="1"/>
  <c r="Y60" i="1"/>
  <c r="I101" i="1"/>
  <c r="L93" i="1"/>
  <c r="K85" i="1"/>
  <c r="I77" i="1"/>
  <c r="I69" i="1"/>
  <c r="I61" i="1"/>
  <c r="O45" i="1"/>
  <c r="S45" i="1"/>
  <c r="W45" i="1"/>
  <c r="AA45" i="1"/>
  <c r="P45" i="1"/>
  <c r="T45" i="1"/>
  <c r="X45" i="1"/>
  <c r="AB45" i="1"/>
  <c r="Q45" i="1"/>
  <c r="U45" i="1"/>
  <c r="Y45" i="1"/>
  <c r="AC45" i="1"/>
  <c r="V45" i="1"/>
  <c r="Z45" i="1"/>
  <c r="N45" i="1"/>
  <c r="AD45" i="1"/>
  <c r="R45" i="1"/>
  <c r="J31" i="1"/>
  <c r="J39" i="1"/>
  <c r="J47" i="1"/>
  <c r="J51" i="1"/>
  <c r="K22" i="1"/>
  <c r="L22" i="1"/>
  <c r="I22" i="1"/>
  <c r="J22" i="1"/>
  <c r="X88" i="1"/>
  <c r="AA88" i="1"/>
  <c r="AD88" i="1"/>
  <c r="N88" i="1"/>
  <c r="P84" i="1"/>
  <c r="O84" i="1"/>
  <c r="R84" i="1"/>
  <c r="P72" i="1"/>
  <c r="S72" i="1"/>
  <c r="V72" i="1"/>
  <c r="AA64" i="1"/>
  <c r="Z64" i="1"/>
  <c r="AC64" i="1"/>
  <c r="W56" i="1"/>
  <c r="AD56" i="1"/>
  <c r="N56" i="1"/>
  <c r="Q56" i="1"/>
  <c r="J97" i="1"/>
  <c r="J89" i="1"/>
  <c r="J81" i="1"/>
  <c r="J73" i="1"/>
  <c r="L65" i="1"/>
  <c r="K57" i="1"/>
  <c r="O41" i="1"/>
  <c r="S41" i="1"/>
  <c r="W41" i="1"/>
  <c r="AA41" i="1"/>
  <c r="P41" i="1"/>
  <c r="T41" i="1"/>
  <c r="X41" i="1"/>
  <c r="AB41" i="1"/>
  <c r="Q41" i="1"/>
  <c r="U41" i="1"/>
  <c r="Y41" i="1"/>
  <c r="AC41" i="1"/>
  <c r="Z41" i="1"/>
  <c r="N41" i="1"/>
  <c r="AD41" i="1"/>
  <c r="R41" i="1"/>
  <c r="V41" i="1"/>
  <c r="L27" i="1"/>
  <c r="L35" i="1"/>
  <c r="L43" i="1"/>
  <c r="O22" i="1"/>
  <c r="S22" i="1"/>
  <c r="W22" i="1"/>
  <c r="AA22" i="1"/>
  <c r="P22" i="1"/>
  <c r="T22" i="1"/>
  <c r="X22" i="1"/>
  <c r="AB22" i="1"/>
  <c r="Q22" i="1"/>
  <c r="U22" i="1"/>
  <c r="Y22" i="1"/>
  <c r="AC22" i="1"/>
  <c r="N22" i="1"/>
  <c r="AD22" i="1"/>
  <c r="R22" i="1"/>
  <c r="V22" i="1"/>
  <c r="Z22" i="1"/>
  <c r="U10" i="1"/>
  <c r="P10" i="1"/>
  <c r="O10" i="1"/>
  <c r="I25" i="1"/>
  <c r="AA12" i="1"/>
  <c r="Z12" i="1"/>
  <c r="AC12" i="1"/>
  <c r="AD49" i="1"/>
  <c r="R49" i="1"/>
  <c r="Q49" i="1"/>
  <c r="P49" i="1"/>
  <c r="AN38" i="1" l="1"/>
  <c r="AN39" i="1"/>
  <c r="AJ38" i="1"/>
  <c r="AJ39" i="1"/>
  <c r="AM38" i="1"/>
  <c r="AM39" i="1"/>
  <c r="AK38" i="1"/>
  <c r="AK39" i="1"/>
  <c r="AH39" i="1"/>
  <c r="AH38" i="1"/>
</calcChain>
</file>

<file path=xl/sharedStrings.xml><?xml version="1.0" encoding="utf-8"?>
<sst xmlns="http://schemas.openxmlformats.org/spreadsheetml/2006/main" count="10" uniqueCount="10">
  <si>
    <t>ARI (лет)</t>
  </si>
  <si>
    <t>Исходные данные</t>
  </si>
  <si>
    <t>Расчет</t>
  </si>
  <si>
    <t>ARI</t>
  </si>
  <si>
    <t>Глубина, мм</t>
  </si>
  <si>
    <t>Для длительности, ч</t>
  </si>
  <si>
    <t>Глубина, мм для длительности, ч</t>
  </si>
  <si>
    <t>Поиск максимальной интенсивности для ARI=40</t>
  </si>
  <si>
    <t>мм / час</t>
  </si>
  <si>
    <t>Накопление осадков от RX1Day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</si>
</sst>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График ARI</c:v>
          </c:tx>
          <c:marker>
            <c:symbol val="none"/>
          </c:marker>
          <c:trendline>
            <c:trendlineType val="power"/>
            <c:dispRSqr val="1"/>
            <c:dispEq val="1"/>
            <c:trendlineLbl>
              <c:layout>
                <c:manualLayout>
                  <c:x val="-0.31581167979002622"/>
                  <c:y val="-6.6152668416447945E-3"/>
                </c:manualLayout>
              </c:layout>
              <c:numFmt formatCode="General" sourceLinked="0"/>
            </c:trendlineLbl>
          </c:trendline>
          <c:val>
            <c:numRef>
              <c:f>Лист1!$AE$4:$AE$103</c:f>
              <c:numCache>
                <c:formatCode>General</c:formatCode>
                <c:ptCount val="100"/>
                <c:pt idx="0">
                  <c:v>81</c:v>
                </c:pt>
                <c:pt idx="1">
                  <c:v>98.4</c:v>
                </c:pt>
                <c:pt idx="2">
                  <c:v>110.61319456205338</c:v>
                </c:pt>
                <c:pt idx="3">
                  <c:v>119.27859400730243</c:v>
                </c:pt>
                <c:pt idx="4">
                  <c:v>126</c:v>
                </c:pt>
                <c:pt idx="5">
                  <c:v>132.31282574001105</c:v>
                </c:pt>
                <c:pt idx="6">
                  <c:v>137.65024385208579</c:v>
                </c:pt>
                <c:pt idx="7">
                  <c:v>142.27372572270329</c:v>
                </c:pt>
                <c:pt idx="8">
                  <c:v>146.35192575731881</c:v>
                </c:pt>
                <c:pt idx="9">
                  <c:v>150</c:v>
                </c:pt>
                <c:pt idx="10">
                  <c:v>153.9876021887481</c:v>
                </c:pt>
                <c:pt idx="11">
                  <c:v>157.62799776918001</c:v>
                </c:pt>
                <c:pt idx="12">
                  <c:v>160.97683707435817</c:v>
                </c:pt>
                <c:pt idx="13">
                  <c:v>164.07737798793701</c:v>
                </c:pt>
                <c:pt idx="14">
                  <c:v>166.96391252091354</c:v>
                </c:pt>
                <c:pt idx="15">
                  <c:v>169.66408524826647</c:v>
                </c:pt>
                <c:pt idx="16">
                  <c:v>172.20050764452634</c:v>
                </c:pt>
                <c:pt idx="17">
                  <c:v>174.59191029009355</c:v>
                </c:pt>
                <c:pt idx="18">
                  <c:v>176.85398313813047</c:v>
                </c:pt>
                <c:pt idx="19">
                  <c:v>179</c:v>
                </c:pt>
                <c:pt idx="20">
                  <c:v>181.39613619482293</c:v>
                </c:pt>
                <c:pt idx="21">
                  <c:v>183.68078301132886</c:v>
                </c:pt>
                <c:pt idx="22">
                  <c:v>185.86385574807485</c:v>
                </c:pt>
                <c:pt idx="23">
                  <c:v>187.95400310221055</c:v>
                </c:pt>
                <c:pt idx="24">
                  <c:v>189.95881411852864</c:v>
                </c:pt>
                <c:pt idx="25">
                  <c:v>191.88498452547768</c:v>
                </c:pt>
                <c:pt idx="26">
                  <c:v>193.73845166221759</c:v>
                </c:pt>
                <c:pt idx="27">
                  <c:v>195.52450485555505</c:v>
                </c:pt>
                <c:pt idx="28">
                  <c:v>197.24787641937883</c:v>
                </c:pt>
                <c:pt idx="29">
                  <c:v>198.91281722073921</c:v>
                </c:pt>
                <c:pt idx="30">
                  <c:v>200.52315985076513</c:v>
                </c:pt>
                <c:pt idx="31">
                  <c:v>202.0823717629427</c:v>
                </c:pt>
                <c:pt idx="32">
                  <c:v>203.59360023206804</c:v>
                </c:pt>
                <c:pt idx="33">
                  <c:v>205.05971059966714</c:v>
                </c:pt>
                <c:pt idx="34">
                  <c:v>206.48331897408372</c:v>
                </c:pt>
                <c:pt idx="35">
                  <c:v>207.86682032294976</c:v>
                </c:pt>
                <c:pt idx="36">
                  <c:v>209.21241271581758</c:v>
                </c:pt>
                <c:pt idx="37">
                  <c:v>210.52211833320678</c:v>
                </c:pt>
                <c:pt idx="38">
                  <c:v>211.79780174621686</c:v>
                </c:pt>
                <c:pt idx="39">
                  <c:v>213.04118588147136</c:v>
                </c:pt>
                <c:pt idx="40">
                  <c:v>214.25386601443961</c:v>
                </c:pt>
                <c:pt idx="41">
                  <c:v>215.43732207629427</c:v>
                </c:pt>
                <c:pt idx="42">
                  <c:v>216.59292951247662</c:v>
                </c:pt>
                <c:pt idx="43">
                  <c:v>217.72196889280019</c:v>
                </c:pt>
                <c:pt idx="44">
                  <c:v>218.8256344414784</c:v>
                </c:pt>
                <c:pt idx="45">
                  <c:v>219.90504162954622</c:v>
                </c:pt>
                <c:pt idx="46">
                  <c:v>220.9612339506929</c:v>
                </c:pt>
                <c:pt idx="47">
                  <c:v>221.99518898368191</c:v>
                </c:pt>
                <c:pt idx="48">
                  <c:v>223.00782382963877</c:v>
                </c:pt>
                <c:pt idx="49">
                  <c:v>224</c:v>
                </c:pt>
                <c:pt idx="50">
                  <c:v>225.17133524006761</c:v>
                </c:pt>
                <c:pt idx="51">
                  <c:v>226.31992466302108</c:v>
                </c:pt>
                <c:pt idx="52">
                  <c:v>227.44663485632748</c:v>
                </c:pt>
                <c:pt idx="53">
                  <c:v>228.55228380793852</c:v>
                </c:pt>
                <c:pt idx="54">
                  <c:v>229.63764447374734</c:v>
                </c:pt>
                <c:pt idx="55">
                  <c:v>230.70344802359807</c:v>
                </c:pt>
                <c:pt idx="56">
                  <c:v>231.75038679999071</c:v>
                </c:pt>
                <c:pt idx="57">
                  <c:v>232.77911701946672</c:v>
                </c:pt>
                <c:pt idx="58">
                  <c:v>233.7902612430718</c:v>
                </c:pt>
                <c:pt idx="59">
                  <c:v>234.78441063918552</c:v>
                </c:pt>
                <c:pt idx="60">
                  <c:v>235.76212705931462</c:v>
                </c:pt>
                <c:pt idx="61">
                  <c:v>236.72394494509817</c:v>
                </c:pt>
                <c:pt idx="62">
                  <c:v>237.67037308273285</c:v>
                </c:pt>
                <c:pt idx="63">
                  <c:v>238.60189621923627</c:v>
                </c:pt>
                <c:pt idx="64">
                  <c:v>239.51897655340289</c:v>
                </c:pt>
                <c:pt idx="65">
                  <c:v>240.42205511293284</c:v>
                </c:pt>
                <c:pt idx="66">
                  <c:v>241.31155302800494</c:v>
                </c:pt>
                <c:pt idx="67">
                  <c:v>242.18787271050022</c:v>
                </c:pt>
                <c:pt idx="68">
                  <c:v>243.05139894714122</c:v>
                </c:pt>
                <c:pt idx="69">
                  <c:v>243.90249991397991</c:v>
                </c:pt>
                <c:pt idx="70">
                  <c:v>244.74152811892824</c:v>
                </c:pt>
                <c:pt idx="71">
                  <c:v>245.56882127837108</c:v>
                </c:pt>
                <c:pt idx="72">
                  <c:v>246.38470313331698</c:v>
                </c:pt>
                <c:pt idx="73">
                  <c:v>247.18948421002324</c:v>
                </c:pt>
                <c:pt idx="74">
                  <c:v>247.98346252956736</c:v>
                </c:pt>
                <c:pt idx="75">
                  <c:v>248.76692427042329</c:v>
                </c:pt>
                <c:pt idx="76">
                  <c:v>249.54014438772725</c:v>
                </c:pt>
                <c:pt idx="77">
                  <c:v>250.30338719258845</c:v>
                </c:pt>
                <c:pt idx="78">
                  <c:v>251.0569068944975</c:v>
                </c:pt>
                <c:pt idx="79">
                  <c:v>251.8009481096181</c:v>
                </c:pt>
                <c:pt idx="80">
                  <c:v>252.53574633750591</c:v>
                </c:pt>
                <c:pt idx="81">
                  <c:v>253.2615284085777</c:v>
                </c:pt>
                <c:pt idx="82">
                  <c:v>253.97851290446022</c:v>
                </c:pt>
                <c:pt idx="83">
                  <c:v>254.68691055316543</c:v>
                </c:pt>
                <c:pt idx="84">
                  <c:v>255.38692460088205</c:v>
                </c:pt>
                <c:pt idx="85">
                  <c:v>256.07875116202229</c:v>
                </c:pt>
                <c:pt idx="86">
                  <c:v>256.76257954903411</c:v>
                </c:pt>
                <c:pt idx="87">
                  <c:v>257.43859258336545</c:v>
                </c:pt>
                <c:pt idx="88">
                  <c:v>258.10696688885855</c:v>
                </c:pt>
                <c:pt idx="89">
                  <c:v>258.76787316875294</c:v>
                </c:pt>
                <c:pt idx="90">
                  <c:v>259.42147646738277</c:v>
                </c:pt>
                <c:pt idx="91">
                  <c:v>260.06793641757383</c:v>
                </c:pt>
                <c:pt idx="92">
                  <c:v>260.70740747466556</c:v>
                </c:pt>
                <c:pt idx="93">
                  <c:v>261.34003913801939</c:v>
                </c:pt>
                <c:pt idx="94">
                  <c:v>261.9659761608051</c:v>
                </c:pt>
                <c:pt idx="95">
                  <c:v>262.58535874880363</c:v>
                </c:pt>
                <c:pt idx="96">
                  <c:v>263.19832274890848</c:v>
                </c:pt>
                <c:pt idx="97">
                  <c:v>263.80499982795982</c:v>
                </c:pt>
                <c:pt idx="98">
                  <c:v>264.40551764250023</c:v>
                </c:pt>
                <c:pt idx="99">
                  <c:v>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3C-4CB1-AF8E-64D0857C0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332736"/>
        <c:axId val="101308032"/>
      </c:lineChart>
      <c:catAx>
        <c:axId val="73332736"/>
        <c:scaling>
          <c:orientation val="minMax"/>
        </c:scaling>
        <c:delete val="0"/>
        <c:axPos val="b"/>
        <c:majorTickMark val="out"/>
        <c:minorTickMark val="none"/>
        <c:tickLblPos val="nextTo"/>
        <c:crossAx val="101308032"/>
        <c:crosses val="autoZero"/>
        <c:auto val="1"/>
        <c:lblAlgn val="ctr"/>
        <c:lblOffset val="100"/>
        <c:noMultiLvlLbl val="0"/>
      </c:catAx>
      <c:valAx>
        <c:axId val="101308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3332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Часовой график</c:v>
          </c:tx>
          <c:marker>
            <c:symbol val="none"/>
          </c:marker>
          <c:val>
            <c:numRef>
              <c:f>Лист1!$H$4:$AE$4</c:f>
              <c:numCache>
                <c:formatCode>General</c:formatCode>
                <c:ptCount val="24"/>
                <c:pt idx="0">
                  <c:v>29.6</c:v>
                </c:pt>
                <c:pt idx="1">
                  <c:v>41.363590951344456</c:v>
                </c:pt>
                <c:pt idx="2">
                  <c:v>50.307044242065849</c:v>
                </c:pt>
                <c:pt idx="3">
                  <c:v>57.80225190507246</c:v>
                </c:pt>
                <c:pt idx="4">
                  <c:v>64.376809481580423</c:v>
                </c:pt>
                <c:pt idx="5">
                  <c:v>70.3</c:v>
                </c:pt>
                <c:pt idx="6">
                  <c:v>71.416274955572902</c:v>
                </c:pt>
                <c:pt idx="7">
                  <c:v>72.39755344003855</c:v>
                </c:pt>
                <c:pt idx="8">
                  <c:v>73.274287946917198</c:v>
                </c:pt>
                <c:pt idx="9">
                  <c:v>74.067546483775502</c:v>
                </c:pt>
                <c:pt idx="10">
                  <c:v>74.79253159571995</c:v>
                </c:pt>
                <c:pt idx="11">
                  <c:v>75.4605857385165</c:v>
                </c:pt>
                <c:pt idx="12">
                  <c:v>76.080404131963405</c:v>
                </c:pt>
                <c:pt idx="13">
                  <c:v>76.658804259039499</c:v>
                </c:pt>
                <c:pt idx="14">
                  <c:v>77.201233692373265</c:v>
                </c:pt>
                <c:pt idx="15">
                  <c:v>77.712116481093304</c:v>
                </c:pt>
                <c:pt idx="16">
                  <c:v>78.195096151583911</c:v>
                </c:pt>
                <c:pt idx="17">
                  <c:v>78.653210356288625</c:v>
                </c:pt>
                <c:pt idx="18">
                  <c:v>79.089019070760216</c:v>
                </c:pt>
                <c:pt idx="19">
                  <c:v>79.504700453492148</c:v>
                </c:pt>
                <c:pt idx="20">
                  <c:v>79.902123711852397</c:v>
                </c:pt>
                <c:pt idx="21">
                  <c:v>80.282905306963443</c:v>
                </c:pt>
                <c:pt idx="22">
                  <c:v>80.648452881142788</c:v>
                </c:pt>
                <c:pt idx="23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85-41A5-95BF-8668CE2F1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791296"/>
        <c:axId val="99889664"/>
      </c:lineChart>
      <c:catAx>
        <c:axId val="100791296"/>
        <c:scaling>
          <c:orientation val="minMax"/>
        </c:scaling>
        <c:delete val="0"/>
        <c:axPos val="b"/>
        <c:majorTickMark val="out"/>
        <c:minorTickMark val="none"/>
        <c:tickLblPos val="nextTo"/>
        <c:crossAx val="99889664"/>
        <c:crosses val="autoZero"/>
        <c:auto val="1"/>
        <c:lblAlgn val="ctr"/>
        <c:lblOffset val="100"/>
        <c:noMultiLvlLbl val="0"/>
      </c:catAx>
      <c:valAx>
        <c:axId val="99889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0791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Лист1!$AG$39:$AN$39</c:f>
              <c:numCache>
                <c:formatCode>General</c:formatCode>
                <c:ptCount val="8"/>
                <c:pt idx="0">
                  <c:v>0.32067039924919555</c:v>
                </c:pt>
                <c:pt idx="1">
                  <c:v>0.47561361820585185</c:v>
                </c:pt>
                <c:pt idx="2">
                  <c:v>0.59895911117483891</c:v>
                </c:pt>
                <c:pt idx="3">
                  <c:v>0.705423120913239</c:v>
                </c:pt>
                <c:pt idx="4">
                  <c:v>0.80087050924141179</c:v>
                </c:pt>
                <c:pt idx="5">
                  <c:v>0.88836734132684647</c:v>
                </c:pt>
                <c:pt idx="6">
                  <c:v>0.90013758142325118</c:v>
                </c:pt>
                <c:pt idx="7">
                  <c:v>0.91045940602023567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4E-48F3-BF01-1CE62D520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30944"/>
        <c:axId val="131421824"/>
      </c:lineChart>
      <c:catAx>
        <c:axId val="38930944"/>
        <c:scaling>
          <c:orientation val="minMax"/>
        </c:scaling>
        <c:delete val="0"/>
        <c:axPos val="b"/>
        <c:majorTickMark val="out"/>
        <c:minorTickMark val="none"/>
        <c:tickLblPos val="nextTo"/>
        <c:crossAx val="131421824"/>
        <c:crosses val="autoZero"/>
        <c:auto val="1"/>
        <c:lblAlgn val="ctr"/>
        <c:lblOffset val="100"/>
        <c:noMultiLvlLbl val="0"/>
      </c:catAx>
      <c:valAx>
        <c:axId val="131421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9309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76200</xdr:colOff>
      <xdr:row>2</xdr:row>
      <xdr:rowOff>23812</xdr:rowOff>
    </xdr:from>
    <xdr:to>
      <xdr:col>39</xdr:col>
      <xdr:colOff>381000</xdr:colOff>
      <xdr:row>16</xdr:row>
      <xdr:rowOff>100012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38100</xdr:colOff>
      <xdr:row>18</xdr:row>
      <xdr:rowOff>100012</xdr:rowOff>
    </xdr:from>
    <xdr:to>
      <xdr:col>39</xdr:col>
      <xdr:colOff>342900</xdr:colOff>
      <xdr:row>32</xdr:row>
      <xdr:rowOff>176212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590550</xdr:colOff>
      <xdr:row>39</xdr:row>
      <xdr:rowOff>176212</xdr:rowOff>
    </xdr:from>
    <xdr:to>
      <xdr:col>39</xdr:col>
      <xdr:colOff>285750</xdr:colOff>
      <xdr:row>54</xdr:row>
      <xdr:rowOff>61912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3"/>
  <sheetViews>
    <sheetView tabSelected="1" workbookViewId="0">
      <selection activeCell="A4" sqref="A4"/>
    </sheetView>
  </sheetViews>
  <sheetFormatPr defaultRowHeight="15" x14ac:dyDescent="0.25"/>
  <cols>
    <col min="1" max="1" width="20.42578125" customWidth="1"/>
    <col min="2" max="2" width="7.28515625" customWidth="1"/>
    <col min="3" max="3" width="6.140625" customWidth="1"/>
    <col min="4" max="4" width="7.140625" customWidth="1"/>
    <col min="7" max="7" width="6.85546875" customWidth="1"/>
    <col min="8" max="31" width="4.85546875" customWidth="1"/>
  </cols>
  <sheetData>
    <row r="1" spans="1:31" x14ac:dyDescent="0.25">
      <c r="A1" s="1" t="s">
        <v>1</v>
      </c>
      <c r="B1" t="s">
        <v>4</v>
      </c>
      <c r="G1" s="1" t="s">
        <v>2</v>
      </c>
    </row>
    <row r="2" spans="1:31" x14ac:dyDescent="0.25">
      <c r="B2" s="1" t="s">
        <v>5</v>
      </c>
      <c r="H2" s="1" t="s">
        <v>6</v>
      </c>
    </row>
    <row r="3" spans="1:31" x14ac:dyDescent="0.25">
      <c r="A3" s="1" t="s">
        <v>0</v>
      </c>
      <c r="B3">
        <v>1</v>
      </c>
      <c r="C3">
        <v>6</v>
      </c>
      <c r="D3">
        <v>24</v>
      </c>
      <c r="G3" s="1" t="s">
        <v>3</v>
      </c>
      <c r="H3" s="1">
        <v>1</v>
      </c>
      <c r="I3" s="1">
        <v>2</v>
      </c>
      <c r="J3" s="1">
        <v>3</v>
      </c>
      <c r="K3" s="1">
        <v>4</v>
      </c>
      <c r="L3" s="1">
        <v>5</v>
      </c>
      <c r="M3" s="1">
        <v>6</v>
      </c>
      <c r="N3" s="1">
        <v>7</v>
      </c>
      <c r="O3" s="1">
        <v>8</v>
      </c>
      <c r="P3" s="1">
        <v>9</v>
      </c>
      <c r="Q3" s="1">
        <v>10</v>
      </c>
      <c r="R3" s="1">
        <v>11</v>
      </c>
      <c r="S3" s="1">
        <v>12</v>
      </c>
      <c r="T3" s="1">
        <v>13</v>
      </c>
      <c r="U3" s="1">
        <v>14</v>
      </c>
      <c r="V3" s="1">
        <v>15</v>
      </c>
      <c r="W3" s="1">
        <v>16</v>
      </c>
      <c r="X3" s="1">
        <v>17</v>
      </c>
      <c r="Y3" s="1">
        <v>18</v>
      </c>
      <c r="Z3" s="1">
        <v>19</v>
      </c>
      <c r="AA3" s="1">
        <v>20</v>
      </c>
      <c r="AB3" s="1">
        <v>21</v>
      </c>
      <c r="AC3" s="1">
        <v>22</v>
      </c>
      <c r="AD3" s="1">
        <v>23</v>
      </c>
      <c r="AE3" s="1">
        <v>24</v>
      </c>
    </row>
    <row r="4" spans="1:31" x14ac:dyDescent="0.25">
      <c r="A4">
        <v>1</v>
      </c>
      <c r="B4">
        <v>29.6</v>
      </c>
      <c r="C4">
        <v>70.3</v>
      </c>
      <c r="D4">
        <v>81</v>
      </c>
      <c r="G4" s="2">
        <v>1</v>
      </c>
      <c r="H4">
        <f>$B$4</f>
        <v>29.6</v>
      </c>
      <c r="I4">
        <f>$H4/POWER(I$3,(LN($H4)-LN($M4))/LN($M$3))</f>
        <v>41.363590951344456</v>
      </c>
      <c r="J4">
        <f t="shared" ref="J4:L19" si="0">$H4/POWER(J$3,(LN($H4)-LN($M4))/LN($M$3))</f>
        <v>50.307044242065849</v>
      </c>
      <c r="K4">
        <f t="shared" si="0"/>
        <v>57.80225190507246</v>
      </c>
      <c r="L4">
        <f t="shared" si="0"/>
        <v>64.376809481580423</v>
      </c>
      <c r="M4">
        <f>$C$4</f>
        <v>70.3</v>
      </c>
      <c r="N4">
        <f>($M4*POWER($M$3,LN($M4/$AE4)/LN(4)))/POWER(N$3,LN($M4/$AE4)/LN(4))</f>
        <v>71.416274955572902</v>
      </c>
      <c r="O4">
        <f t="shared" ref="O4:AD19" si="1">($M4*POWER($M$3,LN($M4/$AE4)/LN(4)))/POWER(O$3,LN($M4/$AE4)/LN(4))</f>
        <v>72.39755344003855</v>
      </c>
      <c r="P4">
        <f t="shared" si="1"/>
        <v>73.274287946917198</v>
      </c>
      <c r="Q4">
        <f t="shared" si="1"/>
        <v>74.067546483775502</v>
      </c>
      <c r="R4">
        <f t="shared" si="1"/>
        <v>74.79253159571995</v>
      </c>
      <c r="S4">
        <f t="shared" si="1"/>
        <v>75.4605857385165</v>
      </c>
      <c r="T4">
        <f t="shared" si="1"/>
        <v>76.080404131963405</v>
      </c>
      <c r="U4">
        <f t="shared" si="1"/>
        <v>76.658804259039499</v>
      </c>
      <c r="V4">
        <f t="shared" si="1"/>
        <v>77.201233692373265</v>
      </c>
      <c r="W4">
        <f t="shared" si="1"/>
        <v>77.712116481093304</v>
      </c>
      <c r="X4">
        <f t="shared" si="1"/>
        <v>78.195096151583911</v>
      </c>
      <c r="Y4">
        <f t="shared" si="1"/>
        <v>78.653210356288625</v>
      </c>
      <c r="Z4">
        <f t="shared" si="1"/>
        <v>79.089019070760216</v>
      </c>
      <c r="AA4">
        <f t="shared" si="1"/>
        <v>79.504700453492148</v>
      </c>
      <c r="AB4">
        <f t="shared" si="1"/>
        <v>79.902123711852397</v>
      </c>
      <c r="AC4">
        <f t="shared" si="1"/>
        <v>80.282905306963443</v>
      </c>
      <c r="AD4">
        <f t="shared" si="1"/>
        <v>80.648452881142788</v>
      </c>
      <c r="AE4">
        <f>D4</f>
        <v>81</v>
      </c>
    </row>
    <row r="5" spans="1:31" x14ac:dyDescent="0.25">
      <c r="A5">
        <v>2</v>
      </c>
      <c r="B5">
        <v>36.5</v>
      </c>
      <c r="C5">
        <v>86.1</v>
      </c>
      <c r="D5">
        <v>98.4</v>
      </c>
      <c r="G5" s="2">
        <v>2</v>
      </c>
      <c r="H5">
        <f>$B$5</f>
        <v>36.5</v>
      </c>
      <c r="I5">
        <f t="shared" ref="I5:L36" si="2">$H5/POWER(I$3,(LN($H5)-LN($M5))/LN($M$3))</f>
        <v>50.871774311375056</v>
      </c>
      <c r="J5">
        <f t="shared" si="0"/>
        <v>61.775907023893474</v>
      </c>
      <c r="K5">
        <f t="shared" si="0"/>
        <v>70.902395111985726</v>
      </c>
      <c r="L5">
        <f t="shared" si="0"/>
        <v>78.900143522513829</v>
      </c>
      <c r="M5">
        <f>$C$5</f>
        <v>86.1</v>
      </c>
      <c r="N5">
        <f t="shared" ref="N5:N68" si="3">($M5*POWER($M$3,LN($M5/$AE5)/LN(4)))/POWER(N$3,LN($M5/$AE5)/LN(4))</f>
        <v>87.387967040305654</v>
      </c>
      <c r="O5">
        <f t="shared" si="1"/>
        <v>88.519217830634474</v>
      </c>
      <c r="P5">
        <f t="shared" si="1"/>
        <v>89.529200989931667</v>
      </c>
      <c r="Q5">
        <f t="shared" si="1"/>
        <v>90.442422474770851</v>
      </c>
      <c r="R5">
        <f t="shared" si="1"/>
        <v>91.276553828918821</v>
      </c>
      <c r="S5">
        <f t="shared" si="1"/>
        <v>92.044771714638969</v>
      </c>
      <c r="T5">
        <f t="shared" si="1"/>
        <v>92.757171993655987</v>
      </c>
      <c r="U5">
        <f t="shared" si="1"/>
        <v>93.421666397576402</v>
      </c>
      <c r="V5">
        <f t="shared" si="1"/>
        <v>94.044573980953203</v>
      </c>
      <c r="W5">
        <f t="shared" si="1"/>
        <v>94.631024362127178</v>
      </c>
      <c r="X5">
        <f t="shared" si="1"/>
        <v>95.185240487183648</v>
      </c>
      <c r="Y5">
        <f t="shared" si="1"/>
        <v>95.710741775984758</v>
      </c>
      <c r="Z5">
        <f t="shared" si="1"/>
        <v>96.210493181214332</v>
      </c>
      <c r="AA5">
        <f t="shared" si="1"/>
        <v>96.687016608701683</v>
      </c>
      <c r="AB5">
        <f t="shared" si="1"/>
        <v>97.142475583309661</v>
      </c>
      <c r="AC5">
        <f t="shared" si="1"/>
        <v>97.578740535212404</v>
      </c>
      <c r="AD5">
        <f t="shared" si="1"/>
        <v>97.997439809822168</v>
      </c>
      <c r="AE5">
        <f>$D$5</f>
        <v>98.4</v>
      </c>
    </row>
    <row r="6" spans="1:31" x14ac:dyDescent="0.25">
      <c r="A6">
        <v>4.9999999999999902</v>
      </c>
      <c r="B6">
        <v>45.8</v>
      </c>
      <c r="C6">
        <v>111</v>
      </c>
      <c r="D6">
        <v>126</v>
      </c>
      <c r="G6" s="2">
        <v>3</v>
      </c>
      <c r="H6">
        <f>H$5+(H$8-H$5)*(LN($G6)-LN($G$5))/(LN($G$8)-LN($G$5))</f>
        <v>40.615315558952766</v>
      </c>
      <c r="I6">
        <f t="shared" si="2"/>
        <v>56.905844132138135</v>
      </c>
      <c r="J6">
        <f t="shared" si="0"/>
        <v>69.316175862041888</v>
      </c>
      <c r="K6">
        <f t="shared" si="0"/>
        <v>79.730393616931849</v>
      </c>
      <c r="L6">
        <f t="shared" si="0"/>
        <v>88.874211919502486</v>
      </c>
      <c r="M6">
        <f>M$5+(M$8-M$5)*(LN($G6)-LN($G$5))/(LN($G$8)-LN($G$5))</f>
        <v>97.118425528809027</v>
      </c>
      <c r="N6">
        <f t="shared" si="3"/>
        <v>98.533703952364704</v>
      </c>
      <c r="O6">
        <f t="shared" si="1"/>
        <v>99.776333937410186</v>
      </c>
      <c r="P6">
        <f t="shared" si="1"/>
        <v>100.88541259003917</v>
      </c>
      <c r="Q6">
        <f t="shared" si="1"/>
        <v>101.88795951565483</v>
      </c>
      <c r="R6">
        <f t="shared" si="1"/>
        <v>102.80345341402028</v>
      </c>
      <c r="S6">
        <f t="shared" si="1"/>
        <v>103.64641478883119</v>
      </c>
      <c r="T6">
        <f t="shared" si="1"/>
        <v>104.42796660840708</v>
      </c>
      <c r="U6">
        <f t="shared" si="1"/>
        <v>105.15682369147575</v>
      </c>
      <c r="V6">
        <f t="shared" si="1"/>
        <v>105.83994517749771</v>
      </c>
      <c r="W6">
        <f t="shared" si="1"/>
        <v>106.48297928098185</v>
      </c>
      <c r="X6">
        <f t="shared" si="1"/>
        <v>107.09057510953902</v>
      </c>
      <c r="Y6">
        <f t="shared" si="1"/>
        <v>107.66660664559272</v>
      </c>
      <c r="Z6">
        <f t="shared" si="1"/>
        <v>108.21433706784187</v>
      </c>
      <c r="AA6">
        <f t="shared" si="1"/>
        <v>108.73654156197793</v>
      </c>
      <c r="AB6">
        <f t="shared" si="1"/>
        <v>109.23560062889985</v>
      </c>
      <c r="AC6">
        <f t="shared" si="1"/>
        <v>109.71357202566145</v>
      </c>
      <c r="AD6">
        <f t="shared" si="1"/>
        <v>110.17224696785017</v>
      </c>
      <c r="AE6">
        <f>AE$5+(AE$8-AE$5)*(LN($G6)-LN($G$5))/(LN($G$8)-LN($G$5))</f>
        <v>110.61319456205338</v>
      </c>
    </row>
    <row r="7" spans="1:31" x14ac:dyDescent="0.25">
      <c r="A7">
        <v>9.9999999999999893</v>
      </c>
      <c r="B7">
        <v>53.1</v>
      </c>
      <c r="C7">
        <v>133</v>
      </c>
      <c r="D7">
        <v>150</v>
      </c>
      <c r="G7" s="2">
        <v>4</v>
      </c>
      <c r="H7">
        <f>H$5+(H$8-H$5)*(LN($G7)-LN($G$5))/(LN($G$8)-LN($G$5))</f>
        <v>43.535178415504078</v>
      </c>
      <c r="I7">
        <f t="shared" si="2"/>
        <v>61.185830850726575</v>
      </c>
      <c r="J7">
        <f t="shared" si="0"/>
        <v>74.664554966060834</v>
      </c>
      <c r="K7">
        <f t="shared" si="0"/>
        <v>85.992662328460497</v>
      </c>
      <c r="L7">
        <f t="shared" si="0"/>
        <v>95.950172141754052</v>
      </c>
      <c r="M7">
        <f>M$5+(M$8-M$5)*(LN($G7)-LN($G$5))/(LN($G$8)-LN($G$5))</f>
        <v>104.93612285441415</v>
      </c>
      <c r="N7">
        <f t="shared" si="3"/>
        <v>106.44167321692619</v>
      </c>
      <c r="O7">
        <f t="shared" si="1"/>
        <v>107.76328900173479</v>
      </c>
      <c r="P7">
        <f t="shared" si="1"/>
        <v>108.94265090119471</v>
      </c>
      <c r="Q7">
        <f t="shared" si="1"/>
        <v>110.00855866985648</v>
      </c>
      <c r="R7">
        <f t="shared" si="1"/>
        <v>110.98177093386208</v>
      </c>
      <c r="S7">
        <f t="shared" si="1"/>
        <v>111.87776005378403</v>
      </c>
      <c r="T7">
        <f t="shared" si="1"/>
        <v>112.70837656112721</v>
      </c>
      <c r="U7">
        <f t="shared" si="1"/>
        <v>113.48290418932346</v>
      </c>
      <c r="V7">
        <f t="shared" si="1"/>
        <v>114.20875554875371</v>
      </c>
      <c r="W7">
        <f t="shared" si="1"/>
        <v>114.89194627734921</v>
      </c>
      <c r="X7">
        <f t="shared" si="1"/>
        <v>115.53742743338177</v>
      </c>
      <c r="Y7">
        <f t="shared" si="1"/>
        <v>116.1493242327689</v>
      </c>
      <c r="Z7">
        <f t="shared" si="1"/>
        <v>116.73111117973168</v>
      </c>
      <c r="AA7">
        <f t="shared" si="1"/>
        <v>117.2857429448196</v>
      </c>
      <c r="AB7">
        <f t="shared" si="1"/>
        <v>117.81575379436784</v>
      </c>
      <c r="AC7">
        <f t="shared" si="1"/>
        <v>118.3233342450516</v>
      </c>
      <c r="AD7">
        <f t="shared" si="1"/>
        <v>118.81039094430753</v>
      </c>
      <c r="AE7">
        <f>AE$5+(AE$8-AE$5)*(LN($G7)-LN($G$5))/(LN($G$8)-LN($G$5))</f>
        <v>119.27859400730243</v>
      </c>
    </row>
    <row r="8" spans="1:31" x14ac:dyDescent="0.25">
      <c r="A8">
        <v>20</v>
      </c>
      <c r="B8">
        <v>60.6</v>
      </c>
      <c r="C8">
        <v>159</v>
      </c>
      <c r="D8">
        <v>179</v>
      </c>
      <c r="G8" s="2">
        <v>5</v>
      </c>
      <c r="H8">
        <f>$B$6</f>
        <v>45.8</v>
      </c>
      <c r="I8">
        <f t="shared" si="2"/>
        <v>64.50508345432327</v>
      </c>
      <c r="J8">
        <f t="shared" si="0"/>
        <v>78.812393190683849</v>
      </c>
      <c r="K8">
        <f t="shared" si="0"/>
        <v>90.84947142902206</v>
      </c>
      <c r="L8">
        <f t="shared" si="0"/>
        <v>101.43837322397813</v>
      </c>
      <c r="M8">
        <f>$C$6</f>
        <v>111</v>
      </c>
      <c r="N8">
        <f t="shared" si="3"/>
        <v>112.57554536950198</v>
      </c>
      <c r="O8">
        <f t="shared" si="1"/>
        <v>113.95840994448082</v>
      </c>
      <c r="P8">
        <f t="shared" si="1"/>
        <v>115.19227614516366</v>
      </c>
      <c r="Q8">
        <f t="shared" si="1"/>
        <v>116.30732303872452</v>
      </c>
      <c r="R8">
        <f t="shared" si="1"/>
        <v>117.32530102632059</v>
      </c>
      <c r="S8">
        <f t="shared" si="1"/>
        <v>118.26242006656214</v>
      </c>
      <c r="T8">
        <f t="shared" si="1"/>
        <v>119.13109450664396</v>
      </c>
      <c r="U8">
        <f t="shared" si="1"/>
        <v>119.94104897036368</v>
      </c>
      <c r="V8">
        <f t="shared" si="1"/>
        <v>120.70004750613971</v>
      </c>
      <c r="W8">
        <f t="shared" si="1"/>
        <v>121.4143905132584</v>
      </c>
      <c r="X8">
        <f t="shared" si="1"/>
        <v>122.08926307605583</v>
      </c>
      <c r="Y8">
        <f t="shared" si="1"/>
        <v>122.7289851342592</v>
      </c>
      <c r="Z8">
        <f t="shared" si="1"/>
        <v>123.33719498913773</v>
      </c>
      <c r="AA8">
        <f t="shared" si="1"/>
        <v>123.91698643263946</v>
      </c>
      <c r="AB8">
        <f t="shared" si="1"/>
        <v>124.47101292013269</v>
      </c>
      <c r="AC8">
        <f t="shared" si="1"/>
        <v>125.0015678775728</v>
      </c>
      <c r="AD8">
        <f t="shared" si="1"/>
        <v>125.51064743213342</v>
      </c>
      <c r="AE8">
        <f>$D$6</f>
        <v>126</v>
      </c>
    </row>
    <row r="9" spans="1:31" x14ac:dyDescent="0.25">
      <c r="A9">
        <v>49.999999999999801</v>
      </c>
      <c r="B9">
        <v>70.8</v>
      </c>
      <c r="C9">
        <v>199</v>
      </c>
      <c r="D9">
        <v>224</v>
      </c>
      <c r="G9" s="2">
        <v>6</v>
      </c>
      <c r="H9">
        <f>H$8+(H$13-H$8)*(LN($G9)-LN($G$8))/(LN($G$13)-LN($G$8))</f>
        <v>47.720151162586696</v>
      </c>
      <c r="I9">
        <f t="shared" si="2"/>
        <v>67.463414782252016</v>
      </c>
      <c r="J9">
        <f t="shared" si="0"/>
        <v>82.608947566570009</v>
      </c>
      <c r="K9">
        <f t="shared" si="0"/>
        <v>95.375061126178437</v>
      </c>
      <c r="L9">
        <f t="shared" si="0"/>
        <v>106.62082365806977</v>
      </c>
      <c r="M9">
        <f>M$8+(M$13-M$8)*(LN($G9)-LN($G$8))/(LN($G$13)-LN($G$8))</f>
        <v>116.78675692834346</v>
      </c>
      <c r="N9">
        <f t="shared" si="3"/>
        <v>118.41899234889476</v>
      </c>
      <c r="O9">
        <f t="shared" si="1"/>
        <v>119.85132695865957</v>
      </c>
      <c r="P9">
        <f t="shared" si="1"/>
        <v>121.12910921006404</v>
      </c>
      <c r="Q9">
        <f t="shared" si="1"/>
        <v>122.28366357181021</v>
      </c>
      <c r="R9">
        <f t="shared" si="1"/>
        <v>123.33756237307699</v>
      </c>
      <c r="S9">
        <f t="shared" si="1"/>
        <v>124.30762574436429</v>
      </c>
      <c r="T9">
        <f t="shared" si="1"/>
        <v>125.20673367423295</v>
      </c>
      <c r="U9">
        <f t="shared" si="1"/>
        <v>126.04497435409648</v>
      </c>
      <c r="V9">
        <f t="shared" si="1"/>
        <v>126.83040122849505</v>
      </c>
      <c r="W9">
        <f t="shared" si="1"/>
        <v>127.56954888030397</v>
      </c>
      <c r="X9">
        <f t="shared" si="1"/>
        <v>128.26779461784818</v>
      </c>
      <c r="Y9">
        <f t="shared" si="1"/>
        <v>128.9296181387374</v>
      </c>
      <c r="Z9">
        <f t="shared" si="1"/>
        <v>129.55879198283213</v>
      </c>
      <c r="AA9">
        <f t="shared" si="1"/>
        <v>130.1585238406872</v>
      </c>
      <c r="AB9">
        <f t="shared" si="1"/>
        <v>130.731564652359</v>
      </c>
      <c r="AC9">
        <f t="shared" si="1"/>
        <v>131.2802919349985</v>
      </c>
      <c r="AD9">
        <f t="shared" si="1"/>
        <v>131.80677486825064</v>
      </c>
      <c r="AE9">
        <f>AE$8+(AE$13-AE$8)*(LN($G9)-LN($G$8))/(LN($G$13)-LN($G$8))</f>
        <v>132.31282574001105</v>
      </c>
    </row>
    <row r="10" spans="1:31" x14ac:dyDescent="0.25">
      <c r="A10">
        <v>100</v>
      </c>
      <c r="B10">
        <v>78.7</v>
      </c>
      <c r="C10">
        <v>236</v>
      </c>
      <c r="D10">
        <v>265</v>
      </c>
      <c r="G10" s="2">
        <v>7</v>
      </c>
      <c r="H10">
        <f t="shared" ref="H10:H12" si="4">H$8+(H$13-H$8)*(LN($G10)-LN($G$8))/(LN($G$13)-LN($G$8))</f>
        <v>49.343615838342764</v>
      </c>
      <c r="I10">
        <f t="shared" si="2"/>
        <v>69.963556180652404</v>
      </c>
      <c r="J10">
        <f t="shared" si="0"/>
        <v>85.817551495784613</v>
      </c>
      <c r="K10">
        <f t="shared" si="0"/>
        <v>99.200253371778473</v>
      </c>
      <c r="L10">
        <f t="shared" si="0"/>
        <v>111.00185822438416</v>
      </c>
      <c r="M10">
        <f t="shared" ref="M10:M12" si="5">M$8+(M$13-M$8)*(LN($G10)-LN($G$8))/(LN($G$13)-LN($G$8))</f>
        <v>121.67939019774532</v>
      </c>
      <c r="N10">
        <f t="shared" si="3"/>
        <v>123.35952521947799</v>
      </c>
      <c r="O10">
        <f t="shared" si="1"/>
        <v>124.8336648339819</v>
      </c>
      <c r="P10">
        <f t="shared" si="1"/>
        <v>126.14856331926183</v>
      </c>
      <c r="Q10">
        <f t="shared" si="1"/>
        <v>127.33651174482003</v>
      </c>
      <c r="R10">
        <f t="shared" si="1"/>
        <v>128.42077612206424</v>
      </c>
      <c r="S10">
        <f t="shared" si="1"/>
        <v>129.41869158855198</v>
      </c>
      <c r="T10">
        <f t="shared" si="1"/>
        <v>130.34353117950417</v>
      </c>
      <c r="U10">
        <f t="shared" si="1"/>
        <v>131.205689993552</v>
      </c>
      <c r="V10">
        <f t="shared" si="1"/>
        <v>132.01346578570383</v>
      </c>
      <c r="W10">
        <f t="shared" si="1"/>
        <v>132.7735908502041</v>
      </c>
      <c r="X10">
        <f t="shared" si="1"/>
        <v>133.49160479112902</v>
      </c>
      <c r="Y10">
        <f t="shared" si="1"/>
        <v>134.17212219770795</v>
      </c>
      <c r="Z10">
        <f t="shared" si="1"/>
        <v>134.81902895993491</v>
      </c>
      <c r="AA10">
        <f t="shared" si="1"/>
        <v>135.43562894819846</v>
      </c>
      <c r="AB10">
        <f t="shared" si="1"/>
        <v>136.0247554257198</v>
      </c>
      <c r="AC10">
        <f t="shared" si="1"/>
        <v>136.58885692551635</v>
      </c>
      <c r="AD10">
        <f t="shared" si="1"/>
        <v>137.13006432340549</v>
      </c>
      <c r="AE10">
        <f t="shared" ref="AE10:AE12" si="6">AE$8+(AE$13-AE$8)*(LN($G10)-LN($G$8))/(LN($G$13)-LN($G$8))</f>
        <v>137.65024385208579</v>
      </c>
    </row>
    <row r="11" spans="1:31" x14ac:dyDescent="0.25">
      <c r="A11">
        <v>250</v>
      </c>
      <c r="B11">
        <v>89.6</v>
      </c>
      <c r="C11">
        <v>292</v>
      </c>
      <c r="D11">
        <v>329</v>
      </c>
      <c r="G11" s="2">
        <v>8</v>
      </c>
      <c r="H11">
        <f t="shared" si="4"/>
        <v>50.749924907322253</v>
      </c>
      <c r="I11">
        <f t="shared" si="2"/>
        <v>72.128556368533367</v>
      </c>
      <c r="J11">
        <f t="shared" si="0"/>
        <v>88.596086602915562</v>
      </c>
      <c r="K11">
        <f t="shared" si="0"/>
        <v>102.51303136525564</v>
      </c>
      <c r="L11">
        <f t="shared" si="0"/>
        <v>114.7964424209885</v>
      </c>
      <c r="M11">
        <f t="shared" si="5"/>
        <v>125.91758191247801</v>
      </c>
      <c r="N11">
        <f t="shared" si="3"/>
        <v>127.63918905666405</v>
      </c>
      <c r="O11">
        <f t="shared" si="1"/>
        <v>129.14952786251587</v>
      </c>
      <c r="P11">
        <f t="shared" si="1"/>
        <v>130.49656856313359</v>
      </c>
      <c r="Q11">
        <f t="shared" si="1"/>
        <v>131.71343834077638</v>
      </c>
      <c r="R11">
        <f t="shared" si="1"/>
        <v>132.82400328364159</v>
      </c>
      <c r="S11">
        <f t="shared" si="1"/>
        <v>133.84604406810803</v>
      </c>
      <c r="T11">
        <f t="shared" si="1"/>
        <v>134.79317377766571</v>
      </c>
      <c r="U11">
        <f t="shared" si="1"/>
        <v>135.67605304849698</v>
      </c>
      <c r="V11">
        <f t="shared" si="1"/>
        <v>136.5031910243498</v>
      </c>
      <c r="W11">
        <f t="shared" si="1"/>
        <v>137.28149107625649</v>
      </c>
      <c r="X11">
        <f t="shared" si="1"/>
        <v>138.01663324646319</v>
      </c>
      <c r="Y11">
        <f t="shared" si="1"/>
        <v>138.71334885368535</v>
      </c>
      <c r="Z11">
        <f t="shared" si="1"/>
        <v>139.3756218800923</v>
      </c>
      <c r="AA11">
        <f t="shared" si="1"/>
        <v>140.0068394322825</v>
      </c>
      <c r="AB11">
        <f t="shared" si="1"/>
        <v>140.60990602031256</v>
      </c>
      <c r="AC11">
        <f t="shared" si="1"/>
        <v>141.18733164016618</v>
      </c>
      <c r="AD11">
        <f t="shared" si="1"/>
        <v>141.74130056632242</v>
      </c>
      <c r="AE11">
        <f t="shared" si="6"/>
        <v>142.27372572270329</v>
      </c>
    </row>
    <row r="12" spans="1:31" x14ac:dyDescent="0.25">
      <c r="G12" s="2">
        <v>9</v>
      </c>
      <c r="H12">
        <f t="shared" si="4"/>
        <v>51.990377417851136</v>
      </c>
      <c r="I12">
        <f t="shared" si="2"/>
        <v>74.03771720991277</v>
      </c>
      <c r="J12">
        <f t="shared" si="0"/>
        <v>91.046308425891382</v>
      </c>
      <c r="K12">
        <f t="shared" si="0"/>
        <v>105.4345792799128</v>
      </c>
      <c r="L12">
        <f t="shared" si="0"/>
        <v>118.14319344144432</v>
      </c>
      <c r="M12">
        <f t="shared" si="5"/>
        <v>129.6559319442089</v>
      </c>
      <c r="N12">
        <f t="shared" si="3"/>
        <v>131.41410590131403</v>
      </c>
      <c r="O12">
        <f t="shared" si="1"/>
        <v>132.95636495417449</v>
      </c>
      <c r="P12">
        <f t="shared" si="1"/>
        <v>134.33175061196735</v>
      </c>
      <c r="Q12">
        <f t="shared" si="1"/>
        <v>135.57412672844717</v>
      </c>
      <c r="R12">
        <f t="shared" si="1"/>
        <v>136.70788812741807</v>
      </c>
      <c r="S12">
        <f t="shared" si="1"/>
        <v>137.75120807417568</v>
      </c>
      <c r="T12">
        <f t="shared" si="1"/>
        <v>138.7179993007658</v>
      </c>
      <c r="U12">
        <f t="shared" si="1"/>
        <v>139.61915644309411</v>
      </c>
      <c r="V12">
        <f t="shared" si="1"/>
        <v>140.46337493418829</v>
      </c>
      <c r="W12">
        <f t="shared" si="1"/>
        <v>141.25770891430906</v>
      </c>
      <c r="X12">
        <f t="shared" si="1"/>
        <v>142.00796219744853</v>
      </c>
      <c r="Y12">
        <f t="shared" si="1"/>
        <v>142.71896898230494</v>
      </c>
      <c r="Z12">
        <f t="shared" si="1"/>
        <v>143.39479970760453</v>
      </c>
      <c r="AA12">
        <f t="shared" si="1"/>
        <v>144.0389148448763</v>
      </c>
      <c r="AB12">
        <f t="shared" si="1"/>
        <v>144.65428170334226</v>
      </c>
      <c r="AC12">
        <f t="shared" si="1"/>
        <v>145.24346445579047</v>
      </c>
      <c r="AD12">
        <f t="shared" si="1"/>
        <v>145.80869444639154</v>
      </c>
      <c r="AE12">
        <f t="shared" si="6"/>
        <v>146.35192575731881</v>
      </c>
    </row>
    <row r="13" spans="1:31" x14ac:dyDescent="0.25">
      <c r="G13" s="2">
        <v>10</v>
      </c>
      <c r="H13">
        <f>$B$7</f>
        <v>53.1</v>
      </c>
      <c r="I13">
        <f t="shared" si="2"/>
        <v>75.745150408678057</v>
      </c>
      <c r="J13">
        <f t="shared" si="0"/>
        <v>93.237652336761045</v>
      </c>
      <c r="K13">
        <f t="shared" si="0"/>
        <v>108.04760471625727</v>
      </c>
      <c r="L13">
        <f t="shared" si="0"/>
        <v>121.13673715279612</v>
      </c>
      <c r="M13">
        <f>$C$7</f>
        <v>133</v>
      </c>
      <c r="N13">
        <f t="shared" si="3"/>
        <v>134.79087375375133</v>
      </c>
      <c r="O13">
        <f t="shared" si="1"/>
        <v>136.36167937827267</v>
      </c>
      <c r="P13">
        <f t="shared" si="1"/>
        <v>137.76241574450111</v>
      </c>
      <c r="Q13">
        <f t="shared" si="1"/>
        <v>139.02760507485198</v>
      </c>
      <c r="R13">
        <f t="shared" si="1"/>
        <v>140.18211474822738</v>
      </c>
      <c r="S13">
        <f t="shared" si="1"/>
        <v>141.24446891825536</v>
      </c>
      <c r="T13">
        <f t="shared" si="1"/>
        <v>142.22884814669135</v>
      </c>
      <c r="U13">
        <f t="shared" si="1"/>
        <v>143.14635622839256</v>
      </c>
      <c r="V13">
        <f t="shared" si="1"/>
        <v>144.00585511491781</v>
      </c>
      <c r="W13">
        <f t="shared" si="1"/>
        <v>144.81453371868821</v>
      </c>
      <c r="X13">
        <f t="shared" si="1"/>
        <v>145.57830649595664</v>
      </c>
      <c r="Y13">
        <f t="shared" si="1"/>
        <v>146.30209961449594</v>
      </c>
      <c r="Z13">
        <f t="shared" si="1"/>
        <v>146.99006080239215</v>
      </c>
      <c r="AA13">
        <f t="shared" si="1"/>
        <v>147.64571611860458</v>
      </c>
      <c r="AB13">
        <f t="shared" si="1"/>
        <v>148.27208901538549</v>
      </c>
      <c r="AC13">
        <f t="shared" si="1"/>
        <v>148.87179210113766</v>
      </c>
      <c r="AD13">
        <f t="shared" si="1"/>
        <v>149.44709880256337</v>
      </c>
      <c r="AE13">
        <f>$D$7</f>
        <v>150</v>
      </c>
    </row>
    <row r="14" spans="1:31" x14ac:dyDescent="0.25">
      <c r="G14" s="2">
        <v>11</v>
      </c>
      <c r="H14">
        <f>H$13+(H$23-H$13)*(LN($G14)-LN($G$13))/(LN($G$23)-LN($G$13))</f>
        <v>54.131276428124515</v>
      </c>
      <c r="I14">
        <f t="shared" si="2"/>
        <v>77.434303933697123</v>
      </c>
      <c r="J14">
        <f t="shared" si="0"/>
        <v>95.474275120668139</v>
      </c>
      <c r="K14">
        <f t="shared" si="0"/>
        <v>110.76907513270561</v>
      </c>
      <c r="L14">
        <f t="shared" si="0"/>
        <v>124.30069632048929</v>
      </c>
      <c r="M14">
        <f>M$13+(M$23-M$13)*(LN($G14)-LN($G$13))/(LN($G$23)-LN($G$13))</f>
        <v>136.57509161749832</v>
      </c>
      <c r="N14">
        <f t="shared" si="3"/>
        <v>138.4096620673028</v>
      </c>
      <c r="O14">
        <f t="shared" si="1"/>
        <v>140.01874662228403</v>
      </c>
      <c r="P14">
        <f t="shared" si="1"/>
        <v>141.45357997086208</v>
      </c>
      <c r="Q14">
        <f t="shared" si="1"/>
        <v>142.74953667044406</v>
      </c>
      <c r="R14">
        <f t="shared" si="1"/>
        <v>143.93209745907021</v>
      </c>
      <c r="S14">
        <f t="shared" si="1"/>
        <v>145.02024299002937</v>
      </c>
      <c r="T14">
        <f t="shared" si="1"/>
        <v>146.02850300430649</v>
      </c>
      <c r="U14">
        <f t="shared" si="1"/>
        <v>146.96825451440077</v>
      </c>
      <c r="V14">
        <f t="shared" si="1"/>
        <v>147.84857738018945</v>
      </c>
      <c r="W14">
        <f t="shared" si="1"/>
        <v>148.67683717315103</v>
      </c>
      <c r="X14">
        <f t="shared" si="1"/>
        <v>149.45909360554094</v>
      </c>
      <c r="Y14">
        <f t="shared" si="1"/>
        <v>150.20039376313119</v>
      </c>
      <c r="Z14">
        <f t="shared" si="1"/>
        <v>150.90498713200674</v>
      </c>
      <c r="AA14">
        <f t="shared" si="1"/>
        <v>151.57648623542687</v>
      </c>
      <c r="AB14">
        <f t="shared" si="1"/>
        <v>152.21798863115129</v>
      </c>
      <c r="AC14">
        <f t="shared" si="1"/>
        <v>152.83217093522083</v>
      </c>
      <c r="AD14">
        <f t="shared" si="1"/>
        <v>153.42136224900071</v>
      </c>
      <c r="AE14">
        <f>AE$13+(AE$23-AE$13)*(LN($G14)-LN($G$13))/(LN($G$23)-LN($G$13))</f>
        <v>153.9876021887481</v>
      </c>
    </row>
    <row r="15" spans="1:31" x14ac:dyDescent="0.25">
      <c r="G15" s="2">
        <v>12</v>
      </c>
      <c r="H15">
        <f t="shared" ref="H15:H22" si="7">H$13+(H$23-H$13)*(LN($G15)-LN($G$13))/(LN($G$23)-LN($G$13))</f>
        <v>55.072758043753453</v>
      </c>
      <c r="I15">
        <f t="shared" si="2"/>
        <v>78.975564006808412</v>
      </c>
      <c r="J15">
        <f t="shared" si="0"/>
        <v>97.515145369352837</v>
      </c>
      <c r="K15">
        <f t="shared" si="0"/>
        <v>113.2527211591309</v>
      </c>
      <c r="L15">
        <f t="shared" si="0"/>
        <v>127.18865989654752</v>
      </c>
      <c r="M15">
        <f t="shared" ref="M15:M22" si="8">M$13+(M$23-M$13)*(LN($G15)-LN($G$13))/(LN($G$23)-LN($G$13))</f>
        <v>139.83889455167864</v>
      </c>
      <c r="N15">
        <f t="shared" si="3"/>
        <v>141.71335601269513</v>
      </c>
      <c r="O15">
        <f t="shared" si="1"/>
        <v>143.35738584624005</v>
      </c>
      <c r="P15">
        <f t="shared" si="1"/>
        <v>144.82334686861194</v>
      </c>
      <c r="Q15">
        <f t="shared" si="1"/>
        <v>146.14739170246881</v>
      </c>
      <c r="R15">
        <f t="shared" si="1"/>
        <v>147.35556100080905</v>
      </c>
      <c r="S15">
        <f t="shared" si="1"/>
        <v>148.4672521414625</v>
      </c>
      <c r="T15">
        <f t="shared" si="1"/>
        <v>149.49731362135881</v>
      </c>
      <c r="U15">
        <f t="shared" si="1"/>
        <v>150.45737186641028</v>
      </c>
      <c r="V15">
        <f t="shared" si="1"/>
        <v>151.35670565993803</v>
      </c>
      <c r="W15">
        <f t="shared" si="1"/>
        <v>152.20284184175247</v>
      </c>
      <c r="X15">
        <f t="shared" si="1"/>
        <v>153.00197272554712</v>
      </c>
      <c r="Y15">
        <f t="shared" si="1"/>
        <v>153.75925578106327</v>
      </c>
      <c r="Z15">
        <f t="shared" si="1"/>
        <v>154.47903338770291</v>
      </c>
      <c r="AA15">
        <f t="shared" si="1"/>
        <v>155.16499700080797</v>
      </c>
      <c r="AB15">
        <f t="shared" si="1"/>
        <v>155.820311828168</v>
      </c>
      <c r="AC15">
        <f t="shared" si="1"/>
        <v>156.44771291773026</v>
      </c>
      <c r="AD15">
        <f t="shared" si="1"/>
        <v>157.04958019576304</v>
      </c>
      <c r="AE15">
        <f t="shared" ref="AE15:AE22" si="9">AE$13+(AE$23-AE$13)*(LN($G15)-LN($G$13))/(LN($G$23)-LN($G$13))</f>
        <v>157.62799776918001</v>
      </c>
    </row>
    <row r="16" spans="1:31" x14ac:dyDescent="0.25">
      <c r="G16" s="2">
        <v>13</v>
      </c>
      <c r="H16">
        <f t="shared" si="7"/>
        <v>55.938837174402977</v>
      </c>
      <c r="I16">
        <f t="shared" si="2"/>
        <v>80.392739470984026</v>
      </c>
      <c r="J16">
        <f t="shared" si="0"/>
        <v>99.391765952777249</v>
      </c>
      <c r="K16">
        <f t="shared" si="0"/>
        <v>115.5367699099564</v>
      </c>
      <c r="L16">
        <f t="shared" si="0"/>
        <v>129.8449277851588</v>
      </c>
      <c r="M16">
        <f t="shared" si="8"/>
        <v>142.84130220459699</v>
      </c>
      <c r="N16">
        <f t="shared" si="3"/>
        <v>144.75245909525341</v>
      </c>
      <c r="O16">
        <f t="shared" si="1"/>
        <v>146.42863496088171</v>
      </c>
      <c r="P16">
        <f t="shared" si="1"/>
        <v>147.92323032799905</v>
      </c>
      <c r="Q16">
        <f t="shared" si="1"/>
        <v>149.27311352621939</v>
      </c>
      <c r="R16">
        <f t="shared" si="1"/>
        <v>150.5048402504805</v>
      </c>
      <c r="S16">
        <f t="shared" si="1"/>
        <v>151.63819120682811</v>
      </c>
      <c r="T16">
        <f t="shared" si="1"/>
        <v>152.68830810375354</v>
      </c>
      <c r="U16">
        <f t="shared" si="1"/>
        <v>153.66704679368431</v>
      </c>
      <c r="V16">
        <f t="shared" si="1"/>
        <v>154.58386904292644</v>
      </c>
      <c r="W16">
        <f t="shared" si="1"/>
        <v>155.4464500369028</v>
      </c>
      <c r="X16">
        <f t="shared" si="1"/>
        <v>156.26110406538581</v>
      </c>
      <c r="Y16">
        <f t="shared" si="1"/>
        <v>157.03309013719502</v>
      </c>
      <c r="Z16">
        <f t="shared" si="1"/>
        <v>157.76683608180099</v>
      </c>
      <c r="AA16">
        <f t="shared" si="1"/>
        <v>158.46610596216581</v>
      </c>
      <c r="AB16">
        <f t="shared" si="1"/>
        <v>159.13412721572089</v>
      </c>
      <c r="AC16">
        <f t="shared" si="1"/>
        <v>159.7736886406025</v>
      </c>
      <c r="AD16">
        <f t="shared" si="1"/>
        <v>160.38721691582339</v>
      </c>
      <c r="AE16">
        <f t="shared" si="9"/>
        <v>160.97683707435817</v>
      </c>
    </row>
    <row r="17" spans="7:31" x14ac:dyDescent="0.25">
      <c r="G17" s="2">
        <v>14</v>
      </c>
      <c r="H17">
        <f t="shared" si="7"/>
        <v>56.740701203776815</v>
      </c>
      <c r="I17">
        <f t="shared" si="2"/>
        <v>81.704316999207947</v>
      </c>
      <c r="J17">
        <f t="shared" si="0"/>
        <v>101.12859988363014</v>
      </c>
      <c r="K17">
        <f t="shared" si="0"/>
        <v>117.6509150342103</v>
      </c>
      <c r="L17">
        <f t="shared" si="0"/>
        <v>132.30392286910373</v>
      </c>
      <c r="M17">
        <f t="shared" si="8"/>
        <v>145.62109750642628</v>
      </c>
      <c r="N17">
        <f t="shared" si="3"/>
        <v>147.5662284623827</v>
      </c>
      <c r="O17">
        <f t="shared" si="1"/>
        <v>149.27216649783068</v>
      </c>
      <c r="P17">
        <f t="shared" si="1"/>
        <v>150.79327285530016</v>
      </c>
      <c r="Q17">
        <f t="shared" si="1"/>
        <v>152.167078470516</v>
      </c>
      <c r="R17">
        <f t="shared" si="1"/>
        <v>153.4206158688047</v>
      </c>
      <c r="S17">
        <f t="shared" si="1"/>
        <v>154.57402064570923</v>
      </c>
      <c r="T17">
        <f t="shared" si="1"/>
        <v>155.642705968813</v>
      </c>
      <c r="U17">
        <f t="shared" si="1"/>
        <v>156.63874009703284</v>
      </c>
      <c r="V17">
        <f t="shared" si="1"/>
        <v>157.571754205367</v>
      </c>
      <c r="W17">
        <f t="shared" si="1"/>
        <v>158.44956082031439</v>
      </c>
      <c r="X17">
        <f t="shared" si="1"/>
        <v>159.27858715951322</v>
      </c>
      <c r="Y17">
        <f t="shared" si="1"/>
        <v>160.06418623881481</v>
      </c>
      <c r="Z17">
        <f t="shared" si="1"/>
        <v>160.81086499929103</v>
      </c>
      <c r="AA17">
        <f t="shared" si="1"/>
        <v>161.52245472577079</v>
      </c>
      <c r="AB17">
        <f t="shared" si="1"/>
        <v>162.20224046944816</v>
      </c>
      <c r="AC17">
        <f t="shared" si="1"/>
        <v>162.85306079179563</v>
      </c>
      <c r="AD17">
        <f t="shared" si="1"/>
        <v>163.47738565679657</v>
      </c>
      <c r="AE17">
        <f t="shared" si="9"/>
        <v>164.07737798793701</v>
      </c>
    </row>
    <row r="18" spans="7:31" x14ac:dyDescent="0.25">
      <c r="G18" s="2">
        <v>15</v>
      </c>
      <c r="H18">
        <f t="shared" si="7"/>
        <v>57.487218755408676</v>
      </c>
      <c r="I18">
        <f t="shared" si="2"/>
        <v>82.924937792700049</v>
      </c>
      <c r="J18">
        <f t="shared" si="0"/>
        <v>102.74502302404809</v>
      </c>
      <c r="K18">
        <f t="shared" si="0"/>
        <v>119.61868145301767</v>
      </c>
      <c r="L18">
        <f t="shared" si="0"/>
        <v>134.59292506332352</v>
      </c>
      <c r="M18">
        <f t="shared" si="8"/>
        <v>148.20902501875005</v>
      </c>
      <c r="N18">
        <f t="shared" si="3"/>
        <v>150.18578458667324</v>
      </c>
      <c r="O18">
        <f t="shared" si="1"/>
        <v>151.91943020720001</v>
      </c>
      <c r="P18">
        <f t="shared" si="1"/>
        <v>153.46521748434992</v>
      </c>
      <c r="Q18">
        <f t="shared" si="1"/>
        <v>154.86129419679835</v>
      </c>
      <c r="R18">
        <f t="shared" si="1"/>
        <v>156.13513676879106</v>
      </c>
      <c r="S18">
        <f t="shared" si="1"/>
        <v>157.30721117622193</v>
      </c>
      <c r="T18">
        <f t="shared" si="1"/>
        <v>158.39318329891728</v>
      </c>
      <c r="U18">
        <f t="shared" si="1"/>
        <v>159.4053191339294</v>
      </c>
      <c r="V18">
        <f t="shared" si="1"/>
        <v>160.35340756619189</v>
      </c>
      <c r="W18">
        <f t="shared" si="1"/>
        <v>161.24538897919311</v>
      </c>
      <c r="X18">
        <f t="shared" si="1"/>
        <v>162.0877957203555</v>
      </c>
      <c r="Y18">
        <f t="shared" si="1"/>
        <v>162.88606832115207</v>
      </c>
      <c r="Z18">
        <f t="shared" si="1"/>
        <v>163.64478737150552</v>
      </c>
      <c r="AA18">
        <f t="shared" si="1"/>
        <v>164.3678467364378</v>
      </c>
      <c r="AB18">
        <f t="shared" si="1"/>
        <v>165.05858510273464</v>
      </c>
      <c r="AC18">
        <f t="shared" si="1"/>
        <v>165.71988735914866</v>
      </c>
      <c r="AD18">
        <f t="shared" si="1"/>
        <v>166.35426376593855</v>
      </c>
      <c r="AE18">
        <f t="shared" si="9"/>
        <v>166.96391252091354</v>
      </c>
    </row>
    <row r="19" spans="7:31" x14ac:dyDescent="0.25">
      <c r="G19" s="2">
        <v>16</v>
      </c>
      <c r="H19">
        <f t="shared" si="7"/>
        <v>58.185539288344785</v>
      </c>
      <c r="I19">
        <f t="shared" si="2"/>
        <v>84.066395199688017</v>
      </c>
      <c r="J19">
        <f t="shared" si="0"/>
        <v>104.25664346481925</v>
      </c>
      <c r="K19">
        <f t="shared" si="0"/>
        <v>121.45902381084846</v>
      </c>
      <c r="L19">
        <f t="shared" si="0"/>
        <v>136.73392029734367</v>
      </c>
      <c r="M19">
        <f t="shared" si="8"/>
        <v>150.62986953292858</v>
      </c>
      <c r="N19">
        <f t="shared" si="3"/>
        <v>152.63621528890721</v>
      </c>
      <c r="O19">
        <f t="shared" si="1"/>
        <v>154.39577934931313</v>
      </c>
      <c r="P19">
        <f t="shared" si="1"/>
        <v>155.96465390125832</v>
      </c>
      <c r="Q19">
        <f t="shared" si="1"/>
        <v>157.38156371779343</v>
      </c>
      <c r="R19">
        <f t="shared" si="1"/>
        <v>158.6744004466797</v>
      </c>
      <c r="S19">
        <f t="shared" si="1"/>
        <v>159.86393910250698</v>
      </c>
      <c r="T19">
        <f t="shared" si="1"/>
        <v>160.96608195323248</v>
      </c>
      <c r="U19">
        <f t="shared" si="1"/>
        <v>161.99327996130802</v>
      </c>
      <c r="V19">
        <f t="shared" si="1"/>
        <v>162.95546953467013</v>
      </c>
      <c r="W19">
        <f t="shared" si="1"/>
        <v>163.86071065531257</v>
      </c>
      <c r="X19">
        <f t="shared" si="1"/>
        <v>164.71563401006927</v>
      </c>
      <c r="Y19">
        <f t="shared" si="1"/>
        <v>165.52576199346575</v>
      </c>
      <c r="Z19">
        <f t="shared" si="1"/>
        <v>166.2957440874296</v>
      </c>
      <c r="AA19">
        <f t="shared" si="1"/>
        <v>167.02953269529718</v>
      </c>
      <c r="AB19">
        <f t="shared" si="1"/>
        <v>167.73051667532596</v>
      </c>
      <c r="AC19">
        <f t="shared" si="1"/>
        <v>168.40162425148739</v>
      </c>
      <c r="AD19">
        <f t="shared" ref="O19:AD35" si="10">($M19*POWER($M$3,LN($M19/$AE19)/LN(4)))/POWER(AD$3,LN($M19/$AE19)/LN(4))</f>
        <v>169.04540337780406</v>
      </c>
      <c r="AE19">
        <f t="shared" si="9"/>
        <v>169.66408524826647</v>
      </c>
    </row>
    <row r="20" spans="7:31" x14ac:dyDescent="0.25">
      <c r="G20" s="2">
        <v>17</v>
      </c>
      <c r="H20">
        <f t="shared" si="7"/>
        <v>58.841510597722333</v>
      </c>
      <c r="I20">
        <f t="shared" si="2"/>
        <v>85.138328451131002</v>
      </c>
      <c r="J20">
        <f t="shared" si="2"/>
        <v>105.67621911708603</v>
      </c>
      <c r="K20">
        <f t="shared" si="2"/>
        <v>123.18743855860902</v>
      </c>
      <c r="L20">
        <f t="shared" si="2"/>
        <v>138.74488743365592</v>
      </c>
      <c r="M20">
        <f t="shared" si="8"/>
        <v>152.9039034054374</v>
      </c>
      <c r="N20">
        <f t="shared" si="3"/>
        <v>154.93804077546665</v>
      </c>
      <c r="O20">
        <f t="shared" si="10"/>
        <v>156.72195123707695</v>
      </c>
      <c r="P20">
        <f t="shared" si="10"/>
        <v>158.31251279602304</v>
      </c>
      <c r="Q20">
        <f t="shared" si="10"/>
        <v>159.7489922084016</v>
      </c>
      <c r="R20">
        <f t="shared" si="10"/>
        <v>161.05967115092864</v>
      </c>
      <c r="S20">
        <f t="shared" si="10"/>
        <v>162.26561492579361</v>
      </c>
      <c r="T20">
        <f t="shared" si="10"/>
        <v>163.38294784643654</v>
      </c>
      <c r="U20">
        <f t="shared" si="10"/>
        <v>164.42429461833311</v>
      </c>
      <c r="V20">
        <f t="shared" si="10"/>
        <v>165.39973022196256</v>
      </c>
      <c r="W20">
        <f t="shared" si="10"/>
        <v>166.31742698172479</v>
      </c>
      <c r="X20">
        <f t="shared" si="10"/>
        <v>167.18410795767025</v>
      </c>
      <c r="Y20">
        <f t="shared" si="10"/>
        <v>168.0053724408761</v>
      </c>
      <c r="Z20">
        <f t="shared" si="10"/>
        <v>168.785934625772</v>
      </c>
      <c r="AA20">
        <f t="shared" si="10"/>
        <v>169.52980190269164</v>
      </c>
      <c r="AB20">
        <f t="shared" si="10"/>
        <v>170.2404102576773</v>
      </c>
      <c r="AC20">
        <f t="shared" si="10"/>
        <v>170.92072862099465</v>
      </c>
      <c r="AD20">
        <f t="shared" si="10"/>
        <v>171.57334035377286</v>
      </c>
      <c r="AE20">
        <f t="shared" si="9"/>
        <v>172.20050764452634</v>
      </c>
    </row>
    <row r="21" spans="7:31" x14ac:dyDescent="0.25">
      <c r="G21" s="2">
        <v>18</v>
      </c>
      <c r="H21">
        <f t="shared" si="7"/>
        <v>59.459976799162128</v>
      </c>
      <c r="I21">
        <f t="shared" si="2"/>
        <v>86.14871723883455</v>
      </c>
      <c r="J21">
        <f t="shared" si="2"/>
        <v>107.01431194683182</v>
      </c>
      <c r="K21">
        <f t="shared" si="2"/>
        <v>124.81675710982195</v>
      </c>
      <c r="L21">
        <f t="shared" si="2"/>
        <v>140.6407164520329</v>
      </c>
      <c r="M21">
        <f t="shared" si="8"/>
        <v>155.04791957042869</v>
      </c>
      <c r="N21">
        <f t="shared" si="3"/>
        <v>157.10825928473128</v>
      </c>
      <c r="O21">
        <f t="shared" si="10"/>
        <v>158.91512394829857</v>
      </c>
      <c r="P21">
        <f t="shared" si="10"/>
        <v>160.52613243063513</v>
      </c>
      <c r="Q21">
        <f t="shared" si="10"/>
        <v>161.98106246619835</v>
      </c>
      <c r="R21">
        <f t="shared" si="10"/>
        <v>163.30856344925994</v>
      </c>
      <c r="S21">
        <f t="shared" si="10"/>
        <v>164.52997436426574</v>
      </c>
      <c r="T21">
        <f t="shared" si="10"/>
        <v>165.6616288687384</v>
      </c>
      <c r="U21">
        <f t="shared" si="10"/>
        <v>166.71631547296985</v>
      </c>
      <c r="V21">
        <f t="shared" si="10"/>
        <v>167.70423980369983</v>
      </c>
      <c r="W21">
        <f t="shared" si="10"/>
        <v>168.63368010191854</v>
      </c>
      <c r="X21">
        <f t="shared" si="10"/>
        <v>169.511446517374</v>
      </c>
      <c r="Y21">
        <f t="shared" si="10"/>
        <v>170.34321083947259</v>
      </c>
      <c r="Z21">
        <f t="shared" si="10"/>
        <v>171.13374827386627</v>
      </c>
      <c r="AA21">
        <f t="shared" si="10"/>
        <v>171.88711805290851</v>
      </c>
      <c r="AB21">
        <f t="shared" si="10"/>
        <v>172.60680059499305</v>
      </c>
      <c r="AC21">
        <f t="shared" si="10"/>
        <v>173.29580320854802</v>
      </c>
      <c r="AD21">
        <f t="shared" si="10"/>
        <v>173.95674263678185</v>
      </c>
      <c r="AE21">
        <f t="shared" si="9"/>
        <v>174.59191029009355</v>
      </c>
    </row>
    <row r="22" spans="7:31" x14ac:dyDescent="0.25">
      <c r="G22" s="2">
        <v>19</v>
      </c>
      <c r="H22">
        <f t="shared" si="7"/>
        <v>60.044995639171674</v>
      </c>
      <c r="I22">
        <f t="shared" si="2"/>
        <v>87.104242033221723</v>
      </c>
      <c r="J22">
        <f t="shared" si="2"/>
        <v>108.27976464899115</v>
      </c>
      <c r="K22">
        <f t="shared" si="2"/>
        <v>126.35772389385315</v>
      </c>
      <c r="L22">
        <f t="shared" si="2"/>
        <v>142.43387783729384</v>
      </c>
      <c r="M22">
        <f t="shared" si="8"/>
        <v>157.0759848824618</v>
      </c>
      <c r="N22">
        <f t="shared" si="3"/>
        <v>159.16110964279031</v>
      </c>
      <c r="O22">
        <f t="shared" si="10"/>
        <v>160.98968695109573</v>
      </c>
      <c r="P22">
        <f t="shared" si="10"/>
        <v>162.62003645178456</v>
      </c>
      <c r="Q22">
        <f t="shared" si="10"/>
        <v>164.09241920894235</v>
      </c>
      <c r="R22">
        <f t="shared" si="10"/>
        <v>165.43583243793395</v>
      </c>
      <c r="S22">
        <f t="shared" si="10"/>
        <v>166.67187399740888</v>
      </c>
      <c r="T22">
        <f t="shared" si="10"/>
        <v>167.81707556229117</v>
      </c>
      <c r="U22">
        <f t="shared" si="10"/>
        <v>168.88438058511164</v>
      </c>
      <c r="V22">
        <f t="shared" si="10"/>
        <v>169.88411827045101</v>
      </c>
      <c r="W22">
        <f t="shared" si="10"/>
        <v>170.82466704553056</v>
      </c>
      <c r="X22">
        <f t="shared" si="10"/>
        <v>171.71291943809643</v>
      </c>
      <c r="Y22">
        <f t="shared" si="10"/>
        <v>172.55461581366262</v>
      </c>
      <c r="Z22">
        <f t="shared" si="10"/>
        <v>173.35458908839161</v>
      </c>
      <c r="AA22">
        <f t="shared" si="10"/>
        <v>174.11694753203821</v>
      </c>
      <c r="AB22">
        <f t="shared" si="10"/>
        <v>174.8452135916188</v>
      </c>
      <c r="AC22">
        <f t="shared" si="10"/>
        <v>175.54243087754449</v>
      </c>
      <c r="AD22">
        <f t="shared" si="10"/>
        <v>176.21124770922268</v>
      </c>
      <c r="AE22">
        <f t="shared" si="9"/>
        <v>176.85398313813047</v>
      </c>
    </row>
    <row r="23" spans="7:31" x14ac:dyDescent="0.25">
      <c r="G23" s="2">
        <v>20</v>
      </c>
      <c r="H23">
        <f>$B$8</f>
        <v>60.6</v>
      </c>
      <c r="I23">
        <f t="shared" si="2"/>
        <v>88.010551632289634</v>
      </c>
      <c r="J23">
        <f t="shared" si="2"/>
        <v>109.48005462182476</v>
      </c>
      <c r="K23">
        <f t="shared" si="2"/>
        <v>127.81942571980063</v>
      </c>
      <c r="L23">
        <f t="shared" si="2"/>
        <v>144.13491992566199</v>
      </c>
      <c r="M23">
        <f>$C$8</f>
        <v>159</v>
      </c>
      <c r="N23">
        <f t="shared" si="3"/>
        <v>161.10863799371239</v>
      </c>
      <c r="O23">
        <f t="shared" si="10"/>
        <v>162.9578138313492</v>
      </c>
      <c r="P23">
        <f t="shared" si="10"/>
        <v>164.60651195976283</v>
      </c>
      <c r="Q23">
        <f t="shared" si="10"/>
        <v>166.09545196288744</v>
      </c>
      <c r="R23">
        <f t="shared" si="10"/>
        <v>167.45396102363082</v>
      </c>
      <c r="S23">
        <f t="shared" si="10"/>
        <v>168.70388258721255</v>
      </c>
      <c r="T23">
        <f t="shared" si="10"/>
        <v>169.86193618222561</v>
      </c>
      <c r="U23">
        <f t="shared" si="10"/>
        <v>170.94121225079863</v>
      </c>
      <c r="V23">
        <f t="shared" si="10"/>
        <v>171.95215723264934</v>
      </c>
      <c r="W23">
        <f t="shared" si="10"/>
        <v>172.90324459919989</v>
      </c>
      <c r="X23">
        <f t="shared" si="10"/>
        <v>173.80144502823265</v>
      </c>
      <c r="Y23">
        <f t="shared" si="10"/>
        <v>174.6525639418266</v>
      </c>
      <c r="Z23">
        <f t="shared" si="10"/>
        <v>175.46148900481023</v>
      </c>
      <c r="AA23">
        <f t="shared" si="10"/>
        <v>176.23237500765387</v>
      </c>
      <c r="AB23">
        <f t="shared" si="10"/>
        <v>176.96878426904055</v>
      </c>
      <c r="AC23">
        <f t="shared" si="10"/>
        <v>177.6737948383288</v>
      </c>
      <c r="AD23">
        <f t="shared" si="10"/>
        <v>178.35008499063744</v>
      </c>
      <c r="AE23">
        <f>$D$8</f>
        <v>179</v>
      </c>
    </row>
    <row r="24" spans="7:31" x14ac:dyDescent="0.25">
      <c r="G24" s="2">
        <v>21</v>
      </c>
      <c r="H24">
        <f>H$23+(H$53-H$23)*(LN($G24)-LN($G$23))/(LN($G$53)-LN($G$23))</f>
        <v>61.143124204159861</v>
      </c>
      <c r="I24">
        <f t="shared" si="2"/>
        <v>88.950074426224447</v>
      </c>
      <c r="J24">
        <f t="shared" si="2"/>
        <v>110.75859667705488</v>
      </c>
      <c r="K24">
        <f t="shared" si="2"/>
        <v>129.40319689932645</v>
      </c>
      <c r="L24">
        <f t="shared" si="2"/>
        <v>146.00054527697355</v>
      </c>
      <c r="M24">
        <f>M$23+(M$53-M$23)*(LN($G24)-LN($G$23))/(LN($G$53)-LN($G$23))</f>
        <v>161.12989883984261</v>
      </c>
      <c r="N24">
        <f t="shared" si="3"/>
        <v>163.26661570117773</v>
      </c>
      <c r="O24">
        <f t="shared" si="10"/>
        <v>165.14041358415733</v>
      </c>
      <c r="P24">
        <f t="shared" si="10"/>
        <v>166.81106297051255</v>
      </c>
      <c r="Q24">
        <f t="shared" si="10"/>
        <v>168.31982604362622</v>
      </c>
      <c r="R24">
        <f t="shared" si="10"/>
        <v>169.69642075654642</v>
      </c>
      <c r="S24">
        <f t="shared" si="10"/>
        <v>170.96298159253695</v>
      </c>
      <c r="T24">
        <f t="shared" si="10"/>
        <v>172.13645083770217</v>
      </c>
      <c r="U24">
        <f t="shared" si="10"/>
        <v>173.23009333320772</v>
      </c>
      <c r="V24">
        <f t="shared" si="10"/>
        <v>174.25449468727837</v>
      </c>
      <c r="W24">
        <f t="shared" si="10"/>
        <v>175.21824125164213</v>
      </c>
      <c r="X24">
        <f t="shared" si="10"/>
        <v>176.12839656159139</v>
      </c>
      <c r="Y24">
        <f t="shared" si="10"/>
        <v>176.99084337169259</v>
      </c>
      <c r="Z24">
        <f t="shared" si="10"/>
        <v>177.81053445210887</v>
      </c>
      <c r="AA24">
        <f t="shared" si="10"/>
        <v>178.59167993494657</v>
      </c>
      <c r="AB24">
        <f t="shared" si="10"/>
        <v>179.33788958755423</v>
      </c>
      <c r="AC24">
        <f t="shared" si="10"/>
        <v>180.05228245663801</v>
      </c>
      <c r="AD24">
        <f t="shared" si="10"/>
        <v>180.73757248910232</v>
      </c>
      <c r="AE24">
        <f>AE$23+(AE$53-AE$23)*(LN($G24)-LN($G$23))/(LN($G$53)-LN($G$23))</f>
        <v>181.39613619482293</v>
      </c>
    </row>
    <row r="25" spans="7:31" x14ac:dyDescent="0.25">
      <c r="G25" s="2">
        <v>22</v>
      </c>
      <c r="H25">
        <f t="shared" ref="H25:H52" si="11">H$23+(H$53-H$23)*(LN($G25)-LN($G$23))/(LN($G$53)-LN($G$23))</f>
        <v>61.660977482567873</v>
      </c>
      <c r="I25">
        <f t="shared" si="2"/>
        <v>89.845512733862989</v>
      </c>
      <c r="J25">
        <f t="shared" si="2"/>
        <v>111.97718947320497</v>
      </c>
      <c r="K25">
        <f t="shared" si="2"/>
        <v>130.9128802035749</v>
      </c>
      <c r="L25">
        <f t="shared" si="2"/>
        <v>147.77913153362815</v>
      </c>
      <c r="M25">
        <f t="shared" ref="M25:M52" si="12">M$23+(M$53-M$23)*(LN($G25)-LN($G$23))/(LN($G$53)-LN($G$23))</f>
        <v>163.1606960100701</v>
      </c>
      <c r="N25">
        <f t="shared" si="3"/>
        <v>165.32418526133617</v>
      </c>
      <c r="O25">
        <f t="shared" si="10"/>
        <v>167.2214595542074</v>
      </c>
      <c r="P25">
        <f t="shared" si="10"/>
        <v>168.91303883190974</v>
      </c>
      <c r="Q25">
        <f t="shared" si="10"/>
        <v>170.44070263069182</v>
      </c>
      <c r="R25">
        <f t="shared" si="10"/>
        <v>171.83454149161997</v>
      </c>
      <c r="S25">
        <f t="shared" si="10"/>
        <v>173.11696739431139</v>
      </c>
      <c r="T25">
        <f t="shared" si="10"/>
        <v>174.30513501771256</v>
      </c>
      <c r="U25">
        <f t="shared" si="10"/>
        <v>175.41247548742626</v>
      </c>
      <c r="V25">
        <f t="shared" si="10"/>
        <v>176.44970710482357</v>
      </c>
      <c r="W25">
        <f t="shared" si="10"/>
        <v>177.42552384974007</v>
      </c>
      <c r="X25">
        <f t="shared" si="10"/>
        <v>178.34707779441911</v>
      </c>
      <c r="Y25">
        <f t="shared" si="10"/>
        <v>179.22032542771822</v>
      </c>
      <c r="Z25">
        <f t="shared" si="10"/>
        <v>180.05028159585521</v>
      </c>
      <c r="AA25">
        <f t="shared" si="10"/>
        <v>180.84120919758712</v>
      </c>
      <c r="AB25">
        <f t="shared" si="10"/>
        <v>181.59676324119351</v>
      </c>
      <c r="AC25">
        <f t="shared" si="10"/>
        <v>182.32010186316708</v>
      </c>
      <c r="AD25">
        <f t="shared" si="10"/>
        <v>183.01397302242927</v>
      </c>
      <c r="AE25">
        <f t="shared" ref="AE25:AE52" si="13">AE$23+(AE$53-AE$23)*(LN($G25)-LN($G$23))/(LN($G$53)-LN($G$23))</f>
        <v>183.68078301132886</v>
      </c>
    </row>
    <row r="26" spans="7:31" x14ac:dyDescent="0.25">
      <c r="G26" s="2">
        <v>23</v>
      </c>
      <c r="H26">
        <f t="shared" si="11"/>
        <v>62.155807302896974</v>
      </c>
      <c r="I26">
        <f t="shared" si="2"/>
        <v>90.70081388035301</v>
      </c>
      <c r="J26">
        <f t="shared" si="2"/>
        <v>113.14119742952836</v>
      </c>
      <c r="K26">
        <f t="shared" si="2"/>
        <v>132.35509271834377</v>
      </c>
      <c r="L26">
        <f t="shared" si="2"/>
        <v>149.47843594740087</v>
      </c>
      <c r="M26">
        <f t="shared" si="12"/>
        <v>165.10120510939987</v>
      </c>
      <c r="N26">
        <f t="shared" si="3"/>
        <v>167.29027646448586</v>
      </c>
      <c r="O26">
        <f t="shared" si="10"/>
        <v>169.20998341885667</v>
      </c>
      <c r="P26">
        <f t="shared" si="10"/>
        <v>170.92156205650846</v>
      </c>
      <c r="Q26">
        <f t="shared" si="10"/>
        <v>172.46728626528113</v>
      </c>
      <c r="R26">
        <f t="shared" si="10"/>
        <v>173.8776026091669</v>
      </c>
      <c r="S26">
        <f t="shared" si="10"/>
        <v>175.17518822677721</v>
      </c>
      <c r="T26">
        <f t="shared" si="10"/>
        <v>176.37740074701449</v>
      </c>
      <c r="U26">
        <f t="shared" si="10"/>
        <v>177.49783018699145</v>
      </c>
      <c r="V26">
        <f t="shared" si="10"/>
        <v>178.54732164175181</v>
      </c>
      <c r="W26">
        <f t="shared" si="10"/>
        <v>179.53467193414482</v>
      </c>
      <c r="X26">
        <f t="shared" si="10"/>
        <v>180.46711773705502</v>
      </c>
      <c r="Y26">
        <f t="shared" si="10"/>
        <v>181.35068599544081</v>
      </c>
      <c r="Z26">
        <f t="shared" si="10"/>
        <v>182.19045087170369</v>
      </c>
      <c r="AA26">
        <f t="shared" si="10"/>
        <v>182.99072568527242</v>
      </c>
      <c r="AB26">
        <f t="shared" si="10"/>
        <v>183.75520867396855</v>
      </c>
      <c r="AC26">
        <f t="shared" si="10"/>
        <v>184.48709532615896</v>
      </c>
      <c r="AD26">
        <f t="shared" si="10"/>
        <v>185.18916610062493</v>
      </c>
      <c r="AE26">
        <f t="shared" si="13"/>
        <v>185.86385574807485</v>
      </c>
    </row>
    <row r="27" spans="7:31" x14ac:dyDescent="0.25">
      <c r="G27" s="2">
        <v>24</v>
      </c>
      <c r="H27">
        <f t="shared" si="11"/>
        <v>62.629574036501062</v>
      </c>
      <c r="I27">
        <f t="shared" si="2"/>
        <v>91.519417914430321</v>
      </c>
      <c r="J27">
        <f t="shared" si="2"/>
        <v>114.255295995008</v>
      </c>
      <c r="K27">
        <f t="shared" si="2"/>
        <v>133.73560309566625</v>
      </c>
      <c r="L27">
        <f t="shared" si="2"/>
        <v>151.10522300527822</v>
      </c>
      <c r="M27">
        <f t="shared" si="12"/>
        <v>166.95911386863162</v>
      </c>
      <c r="N27">
        <f t="shared" si="3"/>
        <v>169.17267839043521</v>
      </c>
      <c r="O27">
        <f t="shared" si="10"/>
        <v>171.11386312969415</v>
      </c>
      <c r="P27">
        <f t="shared" si="10"/>
        <v>172.84458982760725</v>
      </c>
      <c r="Q27">
        <f t="shared" si="10"/>
        <v>174.40760568081851</v>
      </c>
      <c r="R27">
        <f t="shared" si="10"/>
        <v>175.83369812161936</v>
      </c>
      <c r="S27">
        <f t="shared" si="10"/>
        <v>177.14579816074416</v>
      </c>
      <c r="T27">
        <f t="shared" si="10"/>
        <v>178.36145773819757</v>
      </c>
      <c r="U27">
        <f t="shared" si="10"/>
        <v>179.49441899915936</v>
      </c>
      <c r="V27">
        <f t="shared" si="10"/>
        <v>180.5556484351938</v>
      </c>
      <c r="W27">
        <f t="shared" si="10"/>
        <v>181.55404133450577</v>
      </c>
      <c r="X27">
        <f t="shared" si="10"/>
        <v>182.49691536947569</v>
      </c>
      <c r="Y27">
        <f t="shared" si="10"/>
        <v>183.39036494209972</v>
      </c>
      <c r="Z27">
        <f t="shared" si="10"/>
        <v>184.23952100608676</v>
      </c>
      <c r="AA27">
        <f t="shared" si="10"/>
        <v>185.0487451553108</v>
      </c>
      <c r="AB27">
        <f t="shared" si="10"/>
        <v>185.82177701700962</v>
      </c>
      <c r="AC27">
        <f t="shared" si="10"/>
        <v>186.56184784148971</v>
      </c>
      <c r="AD27">
        <f t="shared" si="10"/>
        <v>187.27176920399057</v>
      </c>
      <c r="AE27">
        <f t="shared" si="13"/>
        <v>187.95400310221055</v>
      </c>
    </row>
    <row r="28" spans="7:31" x14ac:dyDescent="0.25">
      <c r="G28" s="2">
        <v>25</v>
      </c>
      <c r="H28">
        <f t="shared" si="11"/>
        <v>63.083997866866497</v>
      </c>
      <c r="I28">
        <f t="shared" si="2"/>
        <v>92.30434095096382</v>
      </c>
      <c r="J28">
        <f t="shared" si="2"/>
        <v>115.32358477556375</v>
      </c>
      <c r="K28">
        <f t="shared" si="2"/>
        <v>135.05947065011185</v>
      </c>
      <c r="L28">
        <f t="shared" si="2"/>
        <v>152.66542691013944</v>
      </c>
      <c r="M28">
        <f t="shared" si="12"/>
        <v>168.74116810535878</v>
      </c>
      <c r="N28">
        <f t="shared" si="3"/>
        <v>170.97822578833279</v>
      </c>
      <c r="O28">
        <f t="shared" si="10"/>
        <v>172.94001141892866</v>
      </c>
      <c r="P28">
        <f t="shared" si="10"/>
        <v>174.68910440152317</v>
      </c>
      <c r="Q28">
        <f t="shared" si="10"/>
        <v>176.2687059173067</v>
      </c>
      <c r="R28">
        <f t="shared" si="10"/>
        <v>177.70993034989701</v>
      </c>
      <c r="S28">
        <f t="shared" si="10"/>
        <v>179.03595221705959</v>
      </c>
      <c r="T28">
        <f t="shared" si="10"/>
        <v>180.26450983656821</v>
      </c>
      <c r="U28">
        <f t="shared" si="10"/>
        <v>181.40949127058607</v>
      </c>
      <c r="V28">
        <f t="shared" si="10"/>
        <v>182.48197945082197</v>
      </c>
      <c r="W28">
        <f t="shared" si="10"/>
        <v>183.49096411069445</v>
      </c>
      <c r="X28">
        <f t="shared" si="10"/>
        <v>184.44384061503365</v>
      </c>
      <c r="Y28">
        <f t="shared" si="10"/>
        <v>185.34676806873901</v>
      </c>
      <c r="Z28">
        <f t="shared" si="10"/>
        <v>186.20493189815275</v>
      </c>
      <c r="AA28">
        <f t="shared" si="10"/>
        <v>187.02274000064619</v>
      </c>
      <c r="AB28">
        <f t="shared" si="10"/>
        <v>187.80397170302754</v>
      </c>
      <c r="AC28">
        <f t="shared" si="10"/>
        <v>188.55189255745552</v>
      </c>
      <c r="AD28">
        <f t="shared" si="10"/>
        <v>189.26934398520612</v>
      </c>
      <c r="AE28">
        <f t="shared" si="13"/>
        <v>189.95881411852864</v>
      </c>
    </row>
    <row r="29" spans="7:31" x14ac:dyDescent="0.25">
      <c r="G29" s="2">
        <v>26</v>
      </c>
      <c r="H29">
        <f t="shared" si="11"/>
        <v>63.520596492441605</v>
      </c>
      <c r="I29">
        <f t="shared" si="2"/>
        <v>93.058242072824115</v>
      </c>
      <c r="J29">
        <f t="shared" si="2"/>
        <v>116.3496783578947</v>
      </c>
      <c r="K29">
        <f t="shared" si="2"/>
        <v>136.33115707146698</v>
      </c>
      <c r="L29">
        <f t="shared" si="2"/>
        <v>154.1642821251389</v>
      </c>
      <c r="M29">
        <f t="shared" si="12"/>
        <v>170.45331957820238</v>
      </c>
      <c r="N29">
        <f t="shared" si="3"/>
        <v>172.712948880098</v>
      </c>
      <c r="O29">
        <f t="shared" si="10"/>
        <v>174.69452731204703</v>
      </c>
      <c r="P29">
        <f t="shared" si="10"/>
        <v>176.46126614407456</v>
      </c>
      <c r="Q29">
        <f t="shared" si="10"/>
        <v>178.05680273389854</v>
      </c>
      <c r="R29">
        <f t="shared" si="10"/>
        <v>179.51256559145688</v>
      </c>
      <c r="S29">
        <f t="shared" si="10"/>
        <v>180.85196318973058</v>
      </c>
      <c r="T29">
        <f t="shared" si="10"/>
        <v>182.0929129134021</v>
      </c>
      <c r="U29">
        <f t="shared" si="10"/>
        <v>183.24944301787423</v>
      </c>
      <c r="V29">
        <f t="shared" si="10"/>
        <v>184.33274830751654</v>
      </c>
      <c r="W29">
        <f t="shared" si="10"/>
        <v>185.35190925625096</v>
      </c>
      <c r="X29">
        <f t="shared" si="10"/>
        <v>186.31439587379205</v>
      </c>
      <c r="Y29">
        <f t="shared" si="10"/>
        <v>187.22642942990544</v>
      </c>
      <c r="Z29">
        <f t="shared" si="10"/>
        <v>188.09324768682225</v>
      </c>
      <c r="AA29">
        <f t="shared" si="10"/>
        <v>188.91930302910998</v>
      </c>
      <c r="AB29">
        <f t="shared" si="10"/>
        <v>189.70841292589131</v>
      </c>
      <c r="AC29">
        <f t="shared" si="10"/>
        <v>190.46387588565281</v>
      </c>
      <c r="AD29">
        <f t="shared" si="10"/>
        <v>191.1885620049662</v>
      </c>
      <c r="AE29">
        <f t="shared" si="13"/>
        <v>191.88498452547768</v>
      </c>
    </row>
    <row r="30" spans="7:31" x14ac:dyDescent="0.25">
      <c r="G30" s="2">
        <v>27</v>
      </c>
      <c r="H30">
        <f t="shared" si="11"/>
        <v>63.940715710102658</v>
      </c>
      <c r="I30">
        <f t="shared" si="2"/>
        <v>93.783477536392439</v>
      </c>
      <c r="J30">
        <f t="shared" si="2"/>
        <v>117.3367799066181</v>
      </c>
      <c r="K30">
        <f t="shared" si="2"/>
        <v>137.5546169782607</v>
      </c>
      <c r="L30">
        <f t="shared" si="2"/>
        <v>155.60642923017792</v>
      </c>
      <c r="M30">
        <f t="shared" si="12"/>
        <v>172.1008459219712</v>
      </c>
      <c r="N30">
        <f t="shared" si="3"/>
        <v>174.38219487671461</v>
      </c>
      <c r="O30">
        <f t="shared" si="10"/>
        <v>176.38281903058498</v>
      </c>
      <c r="P30">
        <f t="shared" si="10"/>
        <v>178.16653766943506</v>
      </c>
      <c r="Q30">
        <f t="shared" si="10"/>
        <v>179.77740786399406</v>
      </c>
      <c r="R30">
        <f t="shared" si="10"/>
        <v>181.24716039379931</v>
      </c>
      <c r="S30">
        <f t="shared" si="10"/>
        <v>182.59942885639205</v>
      </c>
      <c r="T30">
        <f t="shared" si="10"/>
        <v>183.8523029444714</v>
      </c>
      <c r="U30">
        <f t="shared" si="10"/>
        <v>185.01994581507762</v>
      </c>
      <c r="V30">
        <f t="shared" si="10"/>
        <v>186.11365992260093</v>
      </c>
      <c r="W30">
        <f t="shared" si="10"/>
        <v>187.14261305646164</v>
      </c>
      <c r="X30">
        <f t="shared" si="10"/>
        <v>188.11434705378352</v>
      </c>
      <c r="Y30">
        <f t="shared" si="10"/>
        <v>189.03514300278272</v>
      </c>
      <c r="Z30">
        <f t="shared" si="10"/>
        <v>189.91028902615884</v>
      </c>
      <c r="AA30">
        <f t="shared" si="10"/>
        <v>190.7442803165041</v>
      </c>
      <c r="AB30">
        <f t="shared" si="10"/>
        <v>191.54097104557277</v>
      </c>
      <c r="AC30">
        <f t="shared" si="10"/>
        <v>192.30369143424116</v>
      </c>
      <c r="AD30">
        <f t="shared" si="10"/>
        <v>193.03533917202674</v>
      </c>
      <c r="AE30">
        <f t="shared" si="13"/>
        <v>193.73845166221759</v>
      </c>
    </row>
    <row r="31" spans="7:31" x14ac:dyDescent="0.25">
      <c r="G31" s="2">
        <v>28</v>
      </c>
      <c r="H31">
        <f t="shared" si="11"/>
        <v>64.345554433925813</v>
      </c>
      <c r="I31">
        <f t="shared" si="2"/>
        <v>94.482145066448339</v>
      </c>
      <c r="J31">
        <f t="shared" si="2"/>
        <v>118.28774131241872</v>
      </c>
      <c r="K31">
        <f t="shared" si="2"/>
        <v>138.73337194606168</v>
      </c>
      <c r="L31">
        <f t="shared" si="2"/>
        <v>156.9960014893303</v>
      </c>
      <c r="M31">
        <f t="shared" si="12"/>
        <v>173.6884487604934</v>
      </c>
      <c r="N31">
        <f t="shared" si="3"/>
        <v>175.99072738450604</v>
      </c>
      <c r="O31">
        <f t="shared" si="10"/>
        <v>178.00970453260811</v>
      </c>
      <c r="P31">
        <f t="shared" si="10"/>
        <v>179.80978539179131</v>
      </c>
      <c r="Q31">
        <f t="shared" si="10"/>
        <v>181.43543148004008</v>
      </c>
      <c r="R31">
        <f t="shared" si="10"/>
        <v>182.9186648523756</v>
      </c>
      <c r="S31">
        <f t="shared" si="10"/>
        <v>184.28333604269517</v>
      </c>
      <c r="T31">
        <f t="shared" si="10"/>
        <v>185.54770078454825</v>
      </c>
      <c r="U31">
        <f t="shared" si="10"/>
        <v>186.72605222998686</v>
      </c>
      <c r="V31">
        <f t="shared" si="10"/>
        <v>187.82979656798901</v>
      </c>
      <c r="W31">
        <f t="shared" si="10"/>
        <v>188.86818572764548</v>
      </c>
      <c r="X31">
        <f t="shared" si="10"/>
        <v>189.84883076099243</v>
      </c>
      <c r="Y31">
        <f t="shared" si="10"/>
        <v>190.77807039898769</v>
      </c>
      <c r="Z31">
        <f t="shared" si="10"/>
        <v>191.6612412930954</v>
      </c>
      <c r="AA31">
        <f t="shared" si="10"/>
        <v>192.50287988692517</v>
      </c>
      <c r="AB31">
        <f t="shared" si="10"/>
        <v>193.30687571991976</v>
      </c>
      <c r="AC31">
        <f t="shared" si="10"/>
        <v>194.07658957190694</v>
      </c>
      <c r="AD31">
        <f t="shared" si="10"/>
        <v>194.81494572174324</v>
      </c>
      <c r="AE31">
        <f t="shared" si="13"/>
        <v>195.52450485555505</v>
      </c>
    </row>
    <row r="32" spans="7:31" x14ac:dyDescent="0.25">
      <c r="G32" s="2">
        <v>29</v>
      </c>
      <c r="H32">
        <f t="shared" si="11"/>
        <v>64.73618532172587</v>
      </c>
      <c r="I32">
        <f t="shared" si="2"/>
        <v>95.156120338189908</v>
      </c>
      <c r="J32">
        <f t="shared" si="2"/>
        <v>119.20511273644816</v>
      </c>
      <c r="K32">
        <f t="shared" si="2"/>
        <v>139.87057150210654</v>
      </c>
      <c r="L32">
        <f t="shared" si="2"/>
        <v>158.33669619899104</v>
      </c>
      <c r="M32">
        <f t="shared" si="12"/>
        <v>175.22033459500338</v>
      </c>
      <c r="N32">
        <f t="shared" si="3"/>
        <v>177.54280835989283</v>
      </c>
      <c r="O32">
        <f t="shared" si="10"/>
        <v>179.57949440255675</v>
      </c>
      <c r="P32">
        <f t="shared" si="10"/>
        <v>181.39536324884429</v>
      </c>
      <c r="Q32">
        <f t="shared" si="10"/>
        <v>183.03526666986468</v>
      </c>
      <c r="R32">
        <f t="shared" si="10"/>
        <v>184.53150777377198</v>
      </c>
      <c r="S32">
        <f t="shared" si="10"/>
        <v>185.90814641741073</v>
      </c>
      <c r="T32">
        <f t="shared" si="10"/>
        <v>187.18359854795679</v>
      </c>
      <c r="U32">
        <f t="shared" si="10"/>
        <v>188.37228275028346</v>
      </c>
      <c r="V32">
        <f t="shared" si="10"/>
        <v>189.48570530737919</v>
      </c>
      <c r="W32">
        <f t="shared" si="10"/>
        <v>190.53319933511381</v>
      </c>
      <c r="X32">
        <f t="shared" si="10"/>
        <v>191.52244267133079</v>
      </c>
      <c r="Y32">
        <f t="shared" si="10"/>
        <v>192.45982966675152</v>
      </c>
      <c r="Z32">
        <f t="shared" si="10"/>
        <v>193.35074379848237</v>
      </c>
      <c r="AA32">
        <f t="shared" si="10"/>
        <v>194.19976131344157</v>
      </c>
      <c r="AB32">
        <f t="shared" si="10"/>
        <v>195.01080587752784</v>
      </c>
      <c r="AC32">
        <f t="shared" si="10"/>
        <v>195.7872677570509</v>
      </c>
      <c r="AD32">
        <f t="shared" si="10"/>
        <v>196.53209688705084</v>
      </c>
      <c r="AE32">
        <f t="shared" si="13"/>
        <v>197.24787641937883</v>
      </c>
    </row>
    <row r="33" spans="7:41" x14ac:dyDescent="0.25">
      <c r="G33" s="2">
        <v>30</v>
      </c>
      <c r="H33">
        <f t="shared" si="11"/>
        <v>65.113571903367557</v>
      </c>
      <c r="I33">
        <f t="shared" si="2"/>
        <v>95.80708724373423</v>
      </c>
      <c r="J33">
        <f t="shared" si="2"/>
        <v>120.09118371784341</v>
      </c>
      <c r="K33">
        <f t="shared" si="2"/>
        <v>140.96904374637418</v>
      </c>
      <c r="L33">
        <f t="shared" si="2"/>
        <v>159.63183391868765</v>
      </c>
      <c r="M33">
        <f t="shared" si="12"/>
        <v>176.7002819739904</v>
      </c>
      <c r="N33">
        <f t="shared" si="3"/>
        <v>179.04226616475609</v>
      </c>
      <c r="O33">
        <f t="shared" si="10"/>
        <v>181.09606068310777</v>
      </c>
      <c r="P33">
        <f t="shared" si="10"/>
        <v>182.92718222594135</v>
      </c>
      <c r="Q33">
        <f t="shared" si="10"/>
        <v>184.5808595859626</v>
      </c>
      <c r="R33">
        <f t="shared" si="10"/>
        <v>186.08966739535595</v>
      </c>
      <c r="S33">
        <f t="shared" si="10"/>
        <v>187.47786773682233</v>
      </c>
      <c r="T33">
        <f t="shared" si="10"/>
        <v>188.76403133912424</v>
      </c>
      <c r="U33">
        <f t="shared" si="10"/>
        <v>189.96269796715958</v>
      </c>
      <c r="V33">
        <f t="shared" si="10"/>
        <v>191.08547060424232</v>
      </c>
      <c r="W33">
        <f t="shared" si="10"/>
        <v>192.14176080038598</v>
      </c>
      <c r="X33">
        <f t="shared" si="10"/>
        <v>193.13931091487069</v>
      </c>
      <c r="Y33">
        <f t="shared" si="10"/>
        <v>194.08456903239511</v>
      </c>
      <c r="Z33">
        <f t="shared" si="10"/>
        <v>194.98296386808624</v>
      </c>
      <c r="AA33">
        <f t="shared" si="10"/>
        <v>195.83911012264122</v>
      </c>
      <c r="AB33">
        <f t="shared" si="10"/>
        <v>196.65696443135857</v>
      </c>
      <c r="AC33">
        <f t="shared" si="10"/>
        <v>197.43994554729193</v>
      </c>
      <c r="AD33">
        <f t="shared" si="10"/>
        <v>198.19102819179329</v>
      </c>
      <c r="AE33">
        <f t="shared" si="13"/>
        <v>198.91281722073921</v>
      </c>
    </row>
    <row r="34" spans="7:41" x14ac:dyDescent="0.25">
      <c r="G34" s="2">
        <v>31</v>
      </c>
      <c r="H34">
        <f t="shared" si="11"/>
        <v>65.478582899506762</v>
      </c>
      <c r="I34">
        <f t="shared" si="2"/>
        <v>96.43656317197599</v>
      </c>
      <c r="J34">
        <f t="shared" si="2"/>
        <v>120.94801751163622</v>
      </c>
      <c r="K34">
        <f t="shared" si="2"/>
        <v>142.03133764662721</v>
      </c>
      <c r="L34">
        <f t="shared" si="2"/>
        <v>160.88440797308269</v>
      </c>
      <c r="M34">
        <f t="shared" si="12"/>
        <v>178.13169764512455</v>
      </c>
      <c r="N34">
        <f t="shared" si="3"/>
        <v>180.49255245862707</v>
      </c>
      <c r="O34">
        <f t="shared" si="10"/>
        <v>182.5628944164923</v>
      </c>
      <c r="P34">
        <f t="shared" si="10"/>
        <v>184.40876847611008</v>
      </c>
      <c r="Q34">
        <f t="shared" si="10"/>
        <v>186.07576808813843</v>
      </c>
      <c r="R34">
        <f t="shared" si="10"/>
        <v>187.59673050472387</v>
      </c>
      <c r="S34">
        <f t="shared" si="10"/>
        <v>188.99611340284613</v>
      </c>
      <c r="T34">
        <f t="shared" si="10"/>
        <v>190.29263721711371</v>
      </c>
      <c r="U34">
        <f t="shared" si="10"/>
        <v>191.50095891860204</v>
      </c>
      <c r="V34">
        <f t="shared" si="10"/>
        <v>192.63277501986485</v>
      </c>
      <c r="W34">
        <f t="shared" si="10"/>
        <v>193.69757293297525</v>
      </c>
      <c r="X34">
        <f t="shared" si="10"/>
        <v>194.703157422804</v>
      </c>
      <c r="Y34">
        <f t="shared" si="10"/>
        <v>195.65602854593357</v>
      </c>
      <c r="Z34">
        <f t="shared" si="10"/>
        <v>196.56165877202523</v>
      </c>
      <c r="AA34">
        <f t="shared" si="10"/>
        <v>197.42469999454386</v>
      </c>
      <c r="AB34">
        <f t="shared" si="10"/>
        <v>198.24914073702539</v>
      </c>
      <c r="AC34">
        <f t="shared" si="10"/>
        <v>199.03842730510439</v>
      </c>
      <c r="AD34">
        <f t="shared" si="10"/>
        <v>199.79555839362968</v>
      </c>
      <c r="AE34">
        <f t="shared" si="13"/>
        <v>200.52315985076513</v>
      </c>
    </row>
    <row r="35" spans="7:41" x14ac:dyDescent="0.25">
      <c r="G35" s="2">
        <v>32</v>
      </c>
      <c r="H35">
        <f t="shared" si="11"/>
        <v>65.832004266267006</v>
      </c>
      <c r="I35">
        <f t="shared" si="2"/>
        <v>97.045920256256451</v>
      </c>
      <c r="J35">
        <f t="shared" si="2"/>
        <v>121.77747995217179</v>
      </c>
      <c r="K35">
        <f t="shared" si="2"/>
        <v>143.05975859844082</v>
      </c>
      <c r="L35">
        <f t="shared" si="2"/>
        <v>162.09712608184128</v>
      </c>
      <c r="M35">
        <f t="shared" si="12"/>
        <v>179.51766378928241</v>
      </c>
      <c r="N35">
        <f t="shared" si="3"/>
        <v>181.89679005540989</v>
      </c>
      <c r="O35">
        <f t="shared" si="10"/>
        <v>183.98315404725423</v>
      </c>
      <c r="P35">
        <f t="shared" si="10"/>
        <v>185.84331220962264</v>
      </c>
      <c r="Q35">
        <f t="shared" si="10"/>
        <v>187.52321107268074</v>
      </c>
      <c r="R35">
        <f t="shared" si="10"/>
        <v>189.05594216995456</v>
      </c>
      <c r="S35">
        <f t="shared" si="10"/>
        <v>190.4661525622879</v>
      </c>
      <c r="T35">
        <f t="shared" si="10"/>
        <v>191.77270763674835</v>
      </c>
      <c r="U35">
        <f t="shared" si="10"/>
        <v>192.99037784911587</v>
      </c>
      <c r="V35">
        <f t="shared" si="10"/>
        <v>194.13095027148961</v>
      </c>
      <c r="W35">
        <f t="shared" si="10"/>
        <v>195.20398576926758</v>
      </c>
      <c r="X35">
        <f t="shared" si="10"/>
        <v>196.21734953144014</v>
      </c>
      <c r="Y35">
        <f t="shared" si="10"/>
        <v>197.17759193628811</v>
      </c>
      <c r="Z35">
        <f t="shared" si="10"/>
        <v>198.09022781873506</v>
      </c>
      <c r="AA35">
        <f t="shared" si="10"/>
        <v>198.95994508408756</v>
      </c>
      <c r="AB35">
        <f t="shared" si="10"/>
        <v>199.79076313161977</v>
      </c>
      <c r="AC35">
        <f t="shared" ref="O35:AD51" si="14">($M35*POWER($M$3,LN($M35/$AE35)/LN(4)))/POWER(AC$3,LN($M35/$AE35)/LN(4))</f>
        <v>200.58615494471158</v>
      </c>
      <c r="AD35">
        <f t="shared" si="14"/>
        <v>201.34914243051421</v>
      </c>
      <c r="AE35">
        <f t="shared" si="13"/>
        <v>202.0823717629427</v>
      </c>
    </row>
    <row r="36" spans="7:41" x14ac:dyDescent="0.25">
      <c r="G36" s="2">
        <v>33</v>
      </c>
      <c r="H36">
        <f t="shared" si="11"/>
        <v>66.174549385935421</v>
      </c>
      <c r="I36">
        <f t="shared" si="2"/>
        <v>97.636403337749258</v>
      </c>
      <c r="J36">
        <f t="shared" si="2"/>
        <v>122.58126385701709</v>
      </c>
      <c r="K36">
        <f t="shared" si="2"/>
        <v>144.05639849748263</v>
      </c>
      <c r="L36">
        <f t="shared" si="2"/>
        <v>163.27244557337858</v>
      </c>
      <c r="M36">
        <f t="shared" si="12"/>
        <v>180.8609779840605</v>
      </c>
      <c r="N36">
        <f t="shared" si="3"/>
        <v>183.2578134137425</v>
      </c>
      <c r="O36">
        <f t="shared" si="14"/>
        <v>185.35970637459781</v>
      </c>
      <c r="P36">
        <f t="shared" si="14"/>
        <v>187.23370905821804</v>
      </c>
      <c r="Q36">
        <f t="shared" si="14"/>
        <v>188.92611020852681</v>
      </c>
      <c r="R36">
        <f t="shared" si="14"/>
        <v>190.47024781511701</v>
      </c>
      <c r="S36">
        <f t="shared" si="14"/>
        <v>191.89095249455531</v>
      </c>
      <c r="T36">
        <f t="shared" si="14"/>
        <v>193.2072301255694</v>
      </c>
      <c r="U36">
        <f t="shared" si="14"/>
        <v>194.43396115624083</v>
      </c>
      <c r="V36">
        <f t="shared" si="14"/>
        <v>195.58302043131513</v>
      </c>
      <c r="W36">
        <f t="shared" si="14"/>
        <v>196.66404000904714</v>
      </c>
      <c r="X36">
        <f t="shared" si="14"/>
        <v>197.68494364304192</v>
      </c>
      <c r="Y36">
        <f t="shared" si="14"/>
        <v>198.65233048466828</v>
      </c>
      <c r="Z36">
        <f t="shared" si="14"/>
        <v>199.57175643035484</v>
      </c>
      <c r="AA36">
        <f t="shared" si="14"/>
        <v>200.44794428901392</v>
      </c>
      <c r="AB36">
        <f t="shared" si="14"/>
        <v>201.28494338548163</v>
      </c>
      <c r="AC36">
        <f t="shared" si="14"/>
        <v>202.08625255989682</v>
      </c>
      <c r="AD36">
        <f t="shared" si="14"/>
        <v>202.85491621737316</v>
      </c>
      <c r="AE36">
        <f t="shared" si="13"/>
        <v>203.59360023206804</v>
      </c>
      <c r="AG36" t="s">
        <v>7</v>
      </c>
    </row>
    <row r="37" spans="7:41" x14ac:dyDescent="0.25">
      <c r="G37" s="2">
        <v>34</v>
      </c>
      <c r="H37">
        <f t="shared" si="11"/>
        <v>66.506867735924544</v>
      </c>
      <c r="I37">
        <f t="shared" ref="I37:L68" si="15">$H37/POWER(I$3,(LN($H37)-LN($M37))/LN($M$3))</f>
        <v>98.209145235471865</v>
      </c>
      <c r="J37">
        <f t="shared" si="15"/>
        <v>123.36090977337085</v>
      </c>
      <c r="K37">
        <f t="shared" si="15"/>
        <v>145.02316130988254</v>
      </c>
      <c r="L37">
        <f t="shared" si="15"/>
        <v>164.412603333688</v>
      </c>
      <c r="M37">
        <f t="shared" si="12"/>
        <v>182.16418719970412</v>
      </c>
      <c r="N37">
        <f t="shared" si="3"/>
        <v>184.57820308110149</v>
      </c>
      <c r="O37">
        <f t="shared" si="14"/>
        <v>186.69516138949257</v>
      </c>
      <c r="P37">
        <f t="shared" si="14"/>
        <v>188.58259526257777</v>
      </c>
      <c r="Q37">
        <f t="shared" si="14"/>
        <v>190.28712544114046</v>
      </c>
      <c r="R37">
        <f t="shared" si="14"/>
        <v>191.84232901281882</v>
      </c>
      <c r="S37">
        <f t="shared" si="14"/>
        <v>193.27321466979049</v>
      </c>
      <c r="T37">
        <f t="shared" si="14"/>
        <v>194.5989245880223</v>
      </c>
      <c r="U37">
        <f t="shared" si="14"/>
        <v>195.83444592404416</v>
      </c>
      <c r="V37">
        <f t="shared" si="14"/>
        <v>196.99173867476975</v>
      </c>
      <c r="W37">
        <f t="shared" si="14"/>
        <v>198.08050396582667</v>
      </c>
      <c r="X37">
        <f t="shared" si="14"/>
        <v>199.10872236697122</v>
      </c>
      <c r="Y37">
        <f t="shared" si="14"/>
        <v>200.08304034652542</v>
      </c>
      <c r="Z37">
        <f t="shared" si="14"/>
        <v>201.00905363651952</v>
      </c>
      <c r="AA37">
        <f t="shared" si="14"/>
        <v>201.89151890741465</v>
      </c>
      <c r="AB37">
        <f t="shared" si="14"/>
        <v>202.73451451617257</v>
      </c>
      <c r="AC37">
        <f t="shared" si="14"/>
        <v>203.5415643877302</v>
      </c>
      <c r="AD37">
        <f t="shared" si="14"/>
        <v>204.31573475348057</v>
      </c>
      <c r="AE37">
        <f t="shared" si="13"/>
        <v>205.05971059966714</v>
      </c>
      <c r="AG37">
        <f>H3</f>
        <v>1</v>
      </c>
      <c r="AH37">
        <f t="shared" ref="AH37:AL37" si="16">I3</f>
        <v>2</v>
      </c>
      <c r="AI37">
        <f t="shared" si="16"/>
        <v>3</v>
      </c>
      <c r="AJ37">
        <f t="shared" si="16"/>
        <v>4</v>
      </c>
      <c r="AK37">
        <f t="shared" si="16"/>
        <v>5</v>
      </c>
      <c r="AL37">
        <f t="shared" si="16"/>
        <v>6</v>
      </c>
      <c r="AM37">
        <f>N3</f>
        <v>7</v>
      </c>
      <c r="AN37">
        <f t="shared" ref="AN37" si="17">O3</f>
        <v>8</v>
      </c>
    </row>
    <row r="38" spans="7:41" x14ac:dyDescent="0.25">
      <c r="G38" s="2">
        <v>35</v>
      </c>
      <c r="H38">
        <f t="shared" si="11"/>
        <v>66.829552300792301</v>
      </c>
      <c r="I38">
        <f t="shared" si="15"/>
        <v>98.765179793406347</v>
      </c>
      <c r="J38">
        <f t="shared" si="15"/>
        <v>124.11782370560879</v>
      </c>
      <c r="K38">
        <f t="shared" si="15"/>
        <v>145.96178492592173</v>
      </c>
      <c r="L38">
        <f t="shared" si="15"/>
        <v>165.51964140746543</v>
      </c>
      <c r="M38">
        <f t="shared" si="12"/>
        <v>183.42961686585218</v>
      </c>
      <c r="N38">
        <f t="shared" si="3"/>
        <v>185.86031514374019</v>
      </c>
      <c r="O38">
        <f t="shared" si="14"/>
        <v>187.99190206062966</v>
      </c>
      <c r="P38">
        <f t="shared" si="14"/>
        <v>189.89237775785105</v>
      </c>
      <c r="Q38">
        <f t="shared" si="14"/>
        <v>191.608685348563</v>
      </c>
      <c r="R38">
        <f t="shared" si="14"/>
        <v>193.17463408707238</v>
      </c>
      <c r="S38">
        <f t="shared" si="14"/>
        <v>194.61540557881258</v>
      </c>
      <c r="T38">
        <f t="shared" si="14"/>
        <v>195.95027434577653</v>
      </c>
      <c r="U38">
        <f t="shared" si="14"/>
        <v>197.19433115949926</v>
      </c>
      <c r="V38">
        <f t="shared" si="14"/>
        <v>198.3596187005289</v>
      </c>
      <c r="W38">
        <f t="shared" si="14"/>
        <v>199.45590515962547</v>
      </c>
      <c r="X38">
        <f t="shared" si="14"/>
        <v>200.49122627561493</v>
      </c>
      <c r="Y38">
        <f t="shared" si="14"/>
        <v>201.47227446206975</v>
      </c>
      <c r="Z38">
        <f t="shared" si="14"/>
        <v>202.40468413180113</v>
      </c>
      <c r="AA38">
        <f t="shared" si="14"/>
        <v>203.29324483518394</v>
      </c>
      <c r="AB38">
        <f t="shared" si="14"/>
        <v>204.14206311967399</v>
      </c>
      <c r="AC38">
        <f t="shared" si="14"/>
        <v>204.95468726780652</v>
      </c>
      <c r="AD38">
        <f t="shared" si="14"/>
        <v>205.73420470451757</v>
      </c>
      <c r="AE38">
        <f t="shared" si="13"/>
        <v>206.48331897408372</v>
      </c>
      <c r="AG38">
        <f t="shared" ref="AG38:AL38" si="18">H43/H3</f>
        <v>68.316002133133509</v>
      </c>
      <c r="AH38">
        <f t="shared" si="18"/>
        <v>50.662644621976021</v>
      </c>
      <c r="AI38">
        <f t="shared" si="18"/>
        <v>42.534319779733245</v>
      </c>
      <c r="AJ38">
        <f t="shared" si="18"/>
        <v>37.571044556891252</v>
      </c>
      <c r="AK38">
        <f t="shared" si="18"/>
        <v>34.123680605257647</v>
      </c>
      <c r="AL38">
        <f t="shared" si="18"/>
        <v>31.543138649106869</v>
      </c>
      <c r="AM38">
        <f t="shared" ref="AM38:AN38" si="19">N43/N3</f>
        <v>27.39519682898413</v>
      </c>
      <c r="AN38">
        <f t="shared" si="19"/>
        <v>24.245668944436378</v>
      </c>
      <c r="AO38" t="s">
        <v>8</v>
      </c>
    </row>
    <row r="39" spans="7:41" x14ac:dyDescent="0.25">
      <c r="G39" s="2">
        <v>36</v>
      </c>
      <c r="H39">
        <f t="shared" si="11"/>
        <v>67.143145939868603</v>
      </c>
      <c r="I39">
        <f t="shared" si="15"/>
        <v>99.305453082042703</v>
      </c>
      <c r="J39">
        <f t="shared" si="15"/>
        <v>124.85329233618042</v>
      </c>
      <c r="K39">
        <f t="shared" si="15"/>
        <v>146.87385992699114</v>
      </c>
      <c r="L39">
        <f t="shared" si="15"/>
        <v>166.5954289875738</v>
      </c>
      <c r="M39">
        <f t="shared" si="12"/>
        <v>184.65939584262199</v>
      </c>
      <c r="N39">
        <f t="shared" si="3"/>
        <v>187.10630652697293</v>
      </c>
      <c r="O39">
        <f t="shared" si="14"/>
        <v>189.25210992337642</v>
      </c>
      <c r="P39">
        <f t="shared" si="14"/>
        <v>191.16526001996846</v>
      </c>
      <c r="Q39">
        <f t="shared" si="14"/>
        <v>192.89301322013421</v>
      </c>
      <c r="R39">
        <f t="shared" si="14"/>
        <v>194.46940440405311</v>
      </c>
      <c r="S39">
        <f t="shared" si="14"/>
        <v>195.91978321895613</v>
      </c>
      <c r="T39">
        <f t="shared" si="14"/>
        <v>197.2635528042984</v>
      </c>
      <c r="U39">
        <f t="shared" si="14"/>
        <v>198.51590462749121</v>
      </c>
      <c r="V39">
        <f t="shared" si="14"/>
        <v>199.68896172328442</v>
      </c>
      <c r="W39">
        <f t="shared" si="14"/>
        <v>200.7925574581555</v>
      </c>
      <c r="X39">
        <f t="shared" si="14"/>
        <v>201.83478118573098</v>
      </c>
      <c r="Y39">
        <f t="shared" si="14"/>
        <v>202.82236997042585</v>
      </c>
      <c r="Z39">
        <f t="shared" si="14"/>
        <v>203.76099581608526</v>
      </c>
      <c r="AA39">
        <f t="shared" si="14"/>
        <v>204.6554802266775</v>
      </c>
      <c r="AB39">
        <f t="shared" si="14"/>
        <v>205.50995714594652</v>
      </c>
      <c r="AC39">
        <f t="shared" si="14"/>
        <v>206.32799852780354</v>
      </c>
      <c r="AD39">
        <f t="shared" si="14"/>
        <v>207.11271239364544</v>
      </c>
      <c r="AE39">
        <f t="shared" si="13"/>
        <v>207.86682032294976</v>
      </c>
      <c r="AG39">
        <f>H43/$AE$43</f>
        <v>0.32067039924919555</v>
      </c>
      <c r="AH39">
        <f t="shared" ref="AH39:AL39" si="20">I43/$AE$43</f>
        <v>0.47561361820585185</v>
      </c>
      <c r="AI39">
        <f t="shared" si="20"/>
        <v>0.59895911117483891</v>
      </c>
      <c r="AJ39">
        <f t="shared" si="20"/>
        <v>0.705423120913239</v>
      </c>
      <c r="AK39">
        <f t="shared" si="20"/>
        <v>0.80087050924141179</v>
      </c>
      <c r="AL39">
        <f t="shared" si="20"/>
        <v>0.88836734132684647</v>
      </c>
      <c r="AM39">
        <f t="shared" ref="AM39" si="21">N43/$AE$43</f>
        <v>0.90013758142325118</v>
      </c>
      <c r="AN39">
        <f t="shared" ref="AN39" si="22">O43/$AE$43</f>
        <v>0.91045940602023567</v>
      </c>
      <c r="AO39" t="s">
        <v>9</v>
      </c>
    </row>
    <row r="40" spans="7:41" x14ac:dyDescent="0.25">
      <c r="G40" s="2">
        <v>37</v>
      </c>
      <c r="H40">
        <f t="shared" si="11"/>
        <v>67.448146882251976</v>
      </c>
      <c r="I40">
        <f t="shared" si="15"/>
        <v>99.830833058994045</v>
      </c>
      <c r="J40">
        <f t="shared" si="15"/>
        <v>125.56849615346785</v>
      </c>
      <c r="K40">
        <f t="shared" si="15"/>
        <v>147.76084577462572</v>
      </c>
      <c r="L40">
        <f t="shared" si="15"/>
        <v>167.64168138750071</v>
      </c>
      <c r="M40">
        <f t="shared" si="12"/>
        <v>185.85547796961561</v>
      </c>
      <c r="N40">
        <f t="shared" si="3"/>
        <v>188.31815682826638</v>
      </c>
      <c r="O40">
        <f t="shared" si="14"/>
        <v>190.47778716197942</v>
      </c>
      <c r="P40">
        <f t="shared" si="14"/>
        <v>192.40326436993402</v>
      </c>
      <c r="Q40">
        <f t="shared" si="14"/>
        <v>194.14214956134208</v>
      </c>
      <c r="R40">
        <f t="shared" si="14"/>
        <v>195.72869705992917</v>
      </c>
      <c r="S40">
        <f t="shared" si="14"/>
        <v>197.18841995024647</v>
      </c>
      <c r="T40">
        <f t="shared" si="14"/>
        <v>198.54084646499251</v>
      </c>
      <c r="U40">
        <f t="shared" si="14"/>
        <v>199.80126600830889</v>
      </c>
      <c r="V40">
        <f t="shared" si="14"/>
        <v>200.98187976737972</v>
      </c>
      <c r="W40">
        <f t="shared" si="14"/>
        <v>202.09258449853451</v>
      </c>
      <c r="X40">
        <f t="shared" si="14"/>
        <v>203.14152170111328</v>
      </c>
      <c r="Y40">
        <f t="shared" si="14"/>
        <v>204.13547186690602</v>
      </c>
      <c r="Z40">
        <f t="shared" si="14"/>
        <v>205.08014356076828</v>
      </c>
      <c r="AA40">
        <f t="shared" si="14"/>
        <v>205.98038936470883</v>
      </c>
      <c r="AB40">
        <f t="shared" si="14"/>
        <v>206.84036986808039</v>
      </c>
      <c r="AC40">
        <f t="shared" si="14"/>
        <v>207.6636800475562</v>
      </c>
      <c r="AD40">
        <f t="shared" si="14"/>
        <v>208.45344795663519</v>
      </c>
      <c r="AE40">
        <f t="shared" si="13"/>
        <v>209.21241271581758</v>
      </c>
    </row>
    <row r="41" spans="7:41" x14ac:dyDescent="0.25">
      <c r="G41" s="2">
        <v>38</v>
      </c>
      <c r="H41">
        <f t="shared" si="11"/>
        <v>67.745013488860209</v>
      </c>
      <c r="I41">
        <f t="shared" si="15"/>
        <v>100.34211793623312</v>
      </c>
      <c r="J41">
        <f t="shared" si="15"/>
        <v>126.26452082272583</v>
      </c>
      <c r="K41">
        <f t="shared" si="15"/>
        <v>148.62408483518217</v>
      </c>
      <c r="L41">
        <f t="shared" si="15"/>
        <v>168.65997648027724</v>
      </c>
      <c r="M41">
        <f t="shared" si="12"/>
        <v>187.01966074062824</v>
      </c>
      <c r="N41">
        <f t="shared" si="3"/>
        <v>189.4976872381406</v>
      </c>
      <c r="O41">
        <f t="shared" si="14"/>
        <v>191.67077574634891</v>
      </c>
      <c r="P41">
        <f t="shared" si="14"/>
        <v>193.60825130307617</v>
      </c>
      <c r="Q41">
        <f t="shared" si="14"/>
        <v>195.35797159688056</v>
      </c>
      <c r="R41">
        <f t="shared" si="14"/>
        <v>196.95440454249183</v>
      </c>
      <c r="S41">
        <f t="shared" si="14"/>
        <v>198.4232223029218</v>
      </c>
      <c r="T41">
        <f t="shared" si="14"/>
        <v>199.78407486788601</v>
      </c>
      <c r="U41">
        <f t="shared" si="14"/>
        <v>201.05234696629265</v>
      </c>
      <c r="V41">
        <f t="shared" si="14"/>
        <v>202.24031585344122</v>
      </c>
      <c r="W41">
        <f t="shared" si="14"/>
        <v>203.35793998491192</v>
      </c>
      <c r="X41">
        <f t="shared" si="14"/>
        <v>204.41341161503684</v>
      </c>
      <c r="Y41">
        <f t="shared" si="14"/>
        <v>205.41355350477679</v>
      </c>
      <c r="Z41">
        <f t="shared" si="14"/>
        <v>206.3641098049192</v>
      </c>
      <c r="AA41">
        <f t="shared" si="14"/>
        <v>207.26996334666487</v>
      </c>
      <c r="AB41">
        <f t="shared" si="14"/>
        <v>208.13530065433966</v>
      </c>
      <c r="AC41">
        <f t="shared" si="14"/>
        <v>208.96373911336383</v>
      </c>
      <c r="AD41">
        <f t="shared" si="14"/>
        <v>209.75842627508428</v>
      </c>
      <c r="AE41">
        <f t="shared" si="13"/>
        <v>210.52211833320678</v>
      </c>
    </row>
    <row r="42" spans="7:41" x14ac:dyDescent="0.25">
      <c r="G42" s="2">
        <v>39</v>
      </c>
      <c r="H42">
        <f t="shared" si="11"/>
        <v>68.034168395809161</v>
      </c>
      <c r="I42">
        <f t="shared" si="15"/>
        <v>100.84004345631566</v>
      </c>
      <c r="J42">
        <f t="shared" si="15"/>
        <v>126.94236707489382</v>
      </c>
      <c r="K42">
        <f t="shared" si="15"/>
        <v>149.46481457834668</v>
      </c>
      <c r="L42">
        <f t="shared" si="15"/>
        <v>169.65176899929844</v>
      </c>
      <c r="M42">
        <f t="shared" si="12"/>
        <v>188.15360155219278</v>
      </c>
      <c r="N42">
        <f t="shared" si="3"/>
        <v>190.64657700292221</v>
      </c>
      <c r="O42">
        <f t="shared" si="14"/>
        <v>192.8327740826484</v>
      </c>
      <c r="P42">
        <f t="shared" si="14"/>
        <v>194.78193630709902</v>
      </c>
      <c r="Q42">
        <f t="shared" si="14"/>
        <v>196.54221023992633</v>
      </c>
      <c r="R42">
        <f t="shared" si="14"/>
        <v>198.14827183840421</v>
      </c>
      <c r="S42">
        <f t="shared" si="14"/>
        <v>199.62594821161903</v>
      </c>
      <c r="T42">
        <f t="shared" si="14"/>
        <v>200.9950079434179</v>
      </c>
      <c r="U42">
        <f t="shared" si="14"/>
        <v>202.27092861122145</v>
      </c>
      <c r="V42">
        <f t="shared" si="14"/>
        <v>203.4660615624216</v>
      </c>
      <c r="W42">
        <f t="shared" si="14"/>
        <v>204.59042534908622</v>
      </c>
      <c r="X42">
        <f t="shared" si="14"/>
        <v>205.65226166207583</v>
      </c>
      <c r="Y42">
        <f t="shared" si="14"/>
        <v>206.65843443349527</v>
      </c>
      <c r="Z42">
        <f t="shared" si="14"/>
        <v>207.61472247564726</v>
      </c>
      <c r="AA42">
        <f t="shared" si="14"/>
        <v>208.52603808314097</v>
      </c>
      <c r="AB42">
        <f t="shared" si="14"/>
        <v>209.39659304156194</v>
      </c>
      <c r="AC42">
        <f t="shared" si="14"/>
        <v>210.23002656296538</v>
      </c>
      <c r="AD42">
        <f t="shared" si="14"/>
        <v>211.02950519005034</v>
      </c>
      <c r="AE42">
        <f t="shared" si="13"/>
        <v>211.79780174621686</v>
      </c>
    </row>
    <row r="43" spans="7:41" x14ac:dyDescent="0.25">
      <c r="G43" s="2">
        <v>40</v>
      </c>
      <c r="H43">
        <f t="shared" si="11"/>
        <v>68.316002133133509</v>
      </c>
      <c r="I43">
        <f t="shared" si="15"/>
        <v>101.32528924395204</v>
      </c>
      <c r="J43">
        <f t="shared" si="15"/>
        <v>127.60295933919973</v>
      </c>
      <c r="K43">
        <f t="shared" si="15"/>
        <v>150.28417822756501</v>
      </c>
      <c r="L43">
        <f t="shared" si="15"/>
        <v>170.61840302628823</v>
      </c>
      <c r="M43">
        <f t="shared" si="12"/>
        <v>189.25883189464122</v>
      </c>
      <c r="N43">
        <f t="shared" si="3"/>
        <v>191.76637780288891</v>
      </c>
      <c r="O43">
        <f t="shared" si="14"/>
        <v>193.96535155549103</v>
      </c>
      <c r="P43">
        <f t="shared" si="14"/>
        <v>195.92590455053525</v>
      </c>
      <c r="Q43">
        <f t="shared" si="14"/>
        <v>197.69646491266965</v>
      </c>
      <c r="R43">
        <f t="shared" si="14"/>
        <v>199.31191137423284</v>
      </c>
      <c r="S43">
        <f t="shared" si="14"/>
        <v>200.79822206726931</v>
      </c>
      <c r="T43">
        <f t="shared" si="14"/>
        <v>202.17528116704509</v>
      </c>
      <c r="U43">
        <f t="shared" si="14"/>
        <v>203.45865674863995</v>
      </c>
      <c r="V43">
        <f t="shared" si="14"/>
        <v>204.66077237558335</v>
      </c>
      <c r="W43">
        <f t="shared" si="14"/>
        <v>205.79170517483385</v>
      </c>
      <c r="X43">
        <f t="shared" si="14"/>
        <v>206.85974502208595</v>
      </c>
      <c r="Y43">
        <f t="shared" si="14"/>
        <v>207.8717959781666</v>
      </c>
      <c r="Z43">
        <f t="shared" si="14"/>
        <v>208.83367063929123</v>
      </c>
      <c r="AA43">
        <f t="shared" si="14"/>
        <v>209.7503100174865</v>
      </c>
      <c r="AB43">
        <f t="shared" si="14"/>
        <v>210.62595052000239</v>
      </c>
      <c r="AC43">
        <f t="shared" si="14"/>
        <v>211.46425263289549</v>
      </c>
      <c r="AD43">
        <f t="shared" si="14"/>
        <v>212.26840140937054</v>
      </c>
      <c r="AE43">
        <f t="shared" si="13"/>
        <v>213.04118588147136</v>
      </c>
    </row>
    <row r="44" spans="7:41" x14ac:dyDescent="0.25">
      <c r="G44" s="2">
        <v>41</v>
      </c>
      <c r="H44">
        <f t="shared" si="11"/>
        <v>68.590876296606311</v>
      </c>
      <c r="I44">
        <f t="shared" si="15"/>
        <v>101.79848437043123</v>
      </c>
      <c r="J44">
        <f t="shared" si="15"/>
        <v>128.24715330629891</v>
      </c>
      <c r="K44">
        <f t="shared" si="15"/>
        <v>151.08323409231122</v>
      </c>
      <c r="L44">
        <f t="shared" si="15"/>
        <v>171.56112293536827</v>
      </c>
      <c r="M44">
        <f t="shared" si="12"/>
        <v>190.33676979061298</v>
      </c>
      <c r="N44">
        <f t="shared" si="3"/>
        <v>192.85852635475791</v>
      </c>
      <c r="O44">
        <f t="shared" si="14"/>
        <v>195.06996127421962</v>
      </c>
      <c r="P44">
        <f t="shared" si="14"/>
        <v>197.0416237572208</v>
      </c>
      <c r="Q44">
        <f t="shared" si="14"/>
        <v>198.82221653655381</v>
      </c>
      <c r="R44">
        <f t="shared" si="14"/>
        <v>200.44681611230652</v>
      </c>
      <c r="S44">
        <f t="shared" si="14"/>
        <v>201.94154791012974</v>
      </c>
      <c r="T44">
        <f t="shared" si="14"/>
        <v>203.32640884230105</v>
      </c>
      <c r="U44">
        <f t="shared" si="14"/>
        <v>204.61705524681608</v>
      </c>
      <c r="V44">
        <f t="shared" si="14"/>
        <v>205.82598112004106</v>
      </c>
      <c r="W44">
        <f t="shared" si="14"/>
        <v>206.96332071738112</v>
      </c>
      <c r="X44">
        <f t="shared" si="14"/>
        <v>208.03741090949143</v>
      </c>
      <c r="Y44">
        <f t="shared" si="14"/>
        <v>209.05519489498536</v>
      </c>
      <c r="Z44">
        <f t="shared" si="14"/>
        <v>210.02251821973346</v>
      </c>
      <c r="AA44">
        <f t="shared" si="14"/>
        <v>210.9443499040342</v>
      </c>
      <c r="AB44">
        <f t="shared" si="14"/>
        <v>211.82495036879627</v>
      </c>
      <c r="AC44">
        <f t="shared" si="14"/>
        <v>212.66800084873896</v>
      </c>
      <c r="AD44">
        <f t="shared" si="14"/>
        <v>213.47670445047603</v>
      </c>
      <c r="AE44">
        <f t="shared" si="13"/>
        <v>214.25386601443961</v>
      </c>
    </row>
    <row r="45" spans="7:41" x14ac:dyDescent="0.25">
      <c r="G45" s="2">
        <v>42</v>
      </c>
      <c r="H45">
        <f t="shared" si="11"/>
        <v>68.859126337293361</v>
      </c>
      <c r="I45">
        <f t="shared" si="15"/>
        <v>102.26021224511882</v>
      </c>
      <c r="J45">
        <f t="shared" si="15"/>
        <v>128.87574257708536</v>
      </c>
      <c r="K45">
        <f t="shared" si="15"/>
        <v>151.86296377323146</v>
      </c>
      <c r="L45">
        <f t="shared" si="15"/>
        <v>172.4810830167506</v>
      </c>
      <c r="M45">
        <f t="shared" si="12"/>
        <v>191.3887307344838</v>
      </c>
      <c r="N45">
        <f t="shared" si="3"/>
        <v>193.92435549533116</v>
      </c>
      <c r="O45">
        <f t="shared" si="14"/>
        <v>196.14795128301407</v>
      </c>
      <c r="P45">
        <f t="shared" si="14"/>
        <v>198.13045552914667</v>
      </c>
      <c r="Q45">
        <f t="shared" si="14"/>
        <v>199.92083895694157</v>
      </c>
      <c r="R45">
        <f t="shared" si="14"/>
        <v>201.55437106827313</v>
      </c>
      <c r="S45">
        <f t="shared" si="14"/>
        <v>203.05732103280135</v>
      </c>
      <c r="T45">
        <f t="shared" si="14"/>
        <v>204.44979578299052</v>
      </c>
      <c r="U45">
        <f t="shared" si="14"/>
        <v>205.74753779272334</v>
      </c>
      <c r="V45">
        <f t="shared" si="14"/>
        <v>206.96310979385754</v>
      </c>
      <c r="W45">
        <f t="shared" si="14"/>
        <v>208.10670179351871</v>
      </c>
      <c r="X45">
        <f t="shared" si="14"/>
        <v>209.18669652480185</v>
      </c>
      <c r="Y45">
        <f t="shared" si="14"/>
        <v>210.21007538093389</v>
      </c>
      <c r="Z45">
        <f t="shared" si="14"/>
        <v>211.18271606339417</v>
      </c>
      <c r="AA45">
        <f t="shared" si="14"/>
        <v>212.10961492578789</v>
      </c>
      <c r="AB45">
        <f t="shared" si="14"/>
        <v>212.99505582398282</v>
      </c>
      <c r="AC45">
        <f t="shared" si="14"/>
        <v>213.84274024134373</v>
      </c>
      <c r="AD45">
        <f t="shared" si="14"/>
        <v>214.65588890282822</v>
      </c>
      <c r="AE45">
        <f t="shared" si="13"/>
        <v>215.43732207629427</v>
      </c>
    </row>
    <row r="46" spans="7:41" x14ac:dyDescent="0.25">
      <c r="G46" s="2">
        <v>43</v>
      </c>
      <c r="H46">
        <f t="shared" si="11"/>
        <v>69.121064022828023</v>
      </c>
      <c r="I46">
        <f t="shared" si="15"/>
        <v>102.71101492937386</v>
      </c>
      <c r="J46">
        <f t="shared" si="15"/>
        <v>129.48946452667926</v>
      </c>
      <c r="K46">
        <f t="shared" si="15"/>
        <v>152.62427939966244</v>
      </c>
      <c r="L46">
        <f t="shared" si="15"/>
        <v>173.37935596671275</v>
      </c>
      <c r="M46">
        <f t="shared" si="12"/>
        <v>192.41593734442364</v>
      </c>
      <c r="N46">
        <f t="shared" si="3"/>
        <v>194.96510396079881</v>
      </c>
      <c r="O46">
        <f t="shared" si="14"/>
        <v>197.20057445177474</v>
      </c>
      <c r="P46">
        <f t="shared" si="14"/>
        <v>199.1936653368187</v>
      </c>
      <c r="Q46">
        <f t="shared" si="14"/>
        <v>200.99360902330696</v>
      </c>
      <c r="R46">
        <f t="shared" si="14"/>
        <v>202.63586347324983</v>
      </c>
      <c r="S46">
        <f t="shared" si="14"/>
        <v>204.14683821778348</v>
      </c>
      <c r="T46">
        <f t="shared" si="14"/>
        <v>205.5467476206029</v>
      </c>
      <c r="U46">
        <f t="shared" si="14"/>
        <v>206.8514182645589</v>
      </c>
      <c r="V46">
        <f t="shared" si="14"/>
        <v>208.07347999954163</v>
      </c>
      <c r="W46">
        <f t="shared" si="14"/>
        <v>209.22317727246789</v>
      </c>
      <c r="X46">
        <f t="shared" si="14"/>
        <v>210.30893759965394</v>
      </c>
      <c r="Y46">
        <f t="shared" si="14"/>
        <v>211.33777967015854</v>
      </c>
      <c r="Z46">
        <f t="shared" si="14"/>
        <v>212.31561258439569</v>
      </c>
      <c r="AA46">
        <f t="shared" si="14"/>
        <v>213.24745938607992</v>
      </c>
      <c r="AB46">
        <f t="shared" si="14"/>
        <v>214.13762681457513</v>
      </c>
      <c r="AC46">
        <f t="shared" si="14"/>
        <v>214.98983612540792</v>
      </c>
      <c r="AD46">
        <f t="shared" si="14"/>
        <v>215.80732524729129</v>
      </c>
      <c r="AE46">
        <f t="shared" si="13"/>
        <v>216.59292951247662</v>
      </c>
    </row>
    <row r="47" spans="7:41" x14ac:dyDescent="0.25">
      <c r="G47" s="2">
        <v>44</v>
      </c>
      <c r="H47">
        <f t="shared" si="11"/>
        <v>69.376979615701373</v>
      </c>
      <c r="I47">
        <f t="shared" si="15"/>
        <v>103.15139695283078</v>
      </c>
      <c r="J47">
        <f t="shared" si="15"/>
        <v>130.08900549218876</v>
      </c>
      <c r="K47">
        <f t="shared" si="15"/>
        <v>153.36803003329908</v>
      </c>
      <c r="L47">
        <f t="shared" si="15"/>
        <v>174.25694040043592</v>
      </c>
      <c r="M47">
        <f t="shared" si="12"/>
        <v>193.41952790471129</v>
      </c>
      <c r="N47">
        <f t="shared" si="3"/>
        <v>195.98192504166869</v>
      </c>
      <c r="O47">
        <f t="shared" si="14"/>
        <v>198.22899722980247</v>
      </c>
      <c r="P47">
        <f t="shared" si="14"/>
        <v>200.2324313609773</v>
      </c>
      <c r="Q47">
        <f t="shared" si="14"/>
        <v>202.04171551045852</v>
      </c>
      <c r="R47">
        <f t="shared" si="14"/>
        <v>203.69249176758231</v>
      </c>
      <c r="S47">
        <f t="shared" si="14"/>
        <v>205.21130679796775</v>
      </c>
      <c r="T47">
        <f t="shared" si="14"/>
        <v>206.61847992663326</v>
      </c>
      <c r="U47">
        <f t="shared" si="14"/>
        <v>207.92991991168319</v>
      </c>
      <c r="V47">
        <f t="shared" si="14"/>
        <v>209.15832217795727</v>
      </c>
      <c r="W47">
        <f t="shared" si="14"/>
        <v>210.31398436056077</v>
      </c>
      <c r="X47">
        <f t="shared" si="14"/>
        <v>211.4053777294389</v>
      </c>
      <c r="Y47">
        <f t="shared" si="14"/>
        <v>212.43955741202942</v>
      </c>
      <c r="Z47">
        <f t="shared" si="14"/>
        <v>213.42246318580112</v>
      </c>
      <c r="AA47">
        <f t="shared" si="14"/>
        <v>214.35914417095688</v>
      </c>
      <c r="AB47">
        <f t="shared" si="14"/>
        <v>215.25392946425188</v>
      </c>
      <c r="AC47">
        <f t="shared" si="14"/>
        <v>216.11055963880108</v>
      </c>
      <c r="AD47">
        <f t="shared" si="14"/>
        <v>216.93228943154861</v>
      </c>
      <c r="AE47">
        <f t="shared" si="13"/>
        <v>217.72196889280019</v>
      </c>
    </row>
    <row r="48" spans="7:41" x14ac:dyDescent="0.25">
      <c r="G48" s="2">
        <v>45</v>
      </c>
      <c r="H48">
        <f t="shared" si="11"/>
        <v>69.627143806735106</v>
      </c>
      <c r="I48">
        <f t="shared" si="15"/>
        <v>103.58182869937504</v>
      </c>
      <c r="J48">
        <f t="shared" si="15"/>
        <v>130.67500537570766</v>
      </c>
      <c r="K48">
        <f t="shared" si="15"/>
        <v>154.095007350694</v>
      </c>
      <c r="L48">
        <f t="shared" si="15"/>
        <v>175.11476751962391</v>
      </c>
      <c r="M48">
        <f t="shared" si="12"/>
        <v>194.4005639479808</v>
      </c>
      <c r="N48">
        <f t="shared" si="3"/>
        <v>196.9758942649712</v>
      </c>
      <c r="O48">
        <f t="shared" si="14"/>
        <v>199.2343074156563</v>
      </c>
      <c r="P48">
        <f t="shared" si="14"/>
        <v>201.24785234059931</v>
      </c>
      <c r="Q48">
        <f t="shared" si="14"/>
        <v>203.06626703710981</v>
      </c>
      <c r="R48">
        <f t="shared" si="14"/>
        <v>204.72537358379827</v>
      </c>
      <c r="S48">
        <f t="shared" si="14"/>
        <v>206.25185269882567</v>
      </c>
      <c r="T48">
        <f t="shared" si="14"/>
        <v>207.66612630964829</v>
      </c>
      <c r="U48">
        <f t="shared" si="14"/>
        <v>208.98418350282921</v>
      </c>
      <c r="V48">
        <f t="shared" si="14"/>
        <v>210.21878380443587</v>
      </c>
      <c r="W48">
        <f t="shared" si="14"/>
        <v>211.38027684241871</v>
      </c>
      <c r="X48">
        <f t="shared" si="14"/>
        <v>212.47717665703922</v>
      </c>
      <c r="Y48">
        <f t="shared" si="14"/>
        <v>213.51657399520343</v>
      </c>
      <c r="Z48">
        <f t="shared" si="14"/>
        <v>214.50443862200356</v>
      </c>
      <c r="AA48">
        <f t="shared" si="14"/>
        <v>215.44584514809173</v>
      </c>
      <c r="AB48">
        <f t="shared" si="14"/>
        <v>216.34514452515776</v>
      </c>
      <c r="AC48">
        <f t="shared" si="14"/>
        <v>217.20609620976464</v>
      </c>
      <c r="AD48">
        <f t="shared" si="14"/>
        <v>218.03197136934193</v>
      </c>
      <c r="AE48">
        <f t="shared" si="13"/>
        <v>218.8256344414784</v>
      </c>
    </row>
    <row r="49" spans="7:31" x14ac:dyDescent="0.25">
      <c r="G49" s="2">
        <v>46</v>
      </c>
      <c r="H49">
        <f t="shared" si="11"/>
        <v>69.871809436030475</v>
      </c>
      <c r="I49">
        <f t="shared" si="15"/>
        <v>104.00274941974772</v>
      </c>
      <c r="J49">
        <f t="shared" si="15"/>
        <v>131.24806173989825</v>
      </c>
      <c r="K49">
        <f t="shared" si="15"/>
        <v>154.80595069989846</v>
      </c>
      <c r="L49">
        <f t="shared" si="15"/>
        <v>175.95370704649901</v>
      </c>
      <c r="M49">
        <f t="shared" si="12"/>
        <v>195.36003700404109</v>
      </c>
      <c r="N49">
        <f t="shared" si="3"/>
        <v>197.94801623205007</v>
      </c>
      <c r="O49">
        <f t="shared" si="14"/>
        <v>200.21752107296163</v>
      </c>
      <c r="P49">
        <f t="shared" si="14"/>
        <v>202.24095455826125</v>
      </c>
      <c r="Q49">
        <f t="shared" si="14"/>
        <v>204.06829911405421</v>
      </c>
      <c r="R49">
        <f t="shared" si="14"/>
        <v>205.73555285208872</v>
      </c>
      <c r="S49">
        <f t="shared" si="14"/>
        <v>207.26952759661359</v>
      </c>
      <c r="T49">
        <f t="shared" si="14"/>
        <v>208.69074562233729</v>
      </c>
      <c r="U49">
        <f t="shared" si="14"/>
        <v>210.01527457867505</v>
      </c>
      <c r="V49">
        <f t="shared" si="14"/>
        <v>211.25593668398722</v>
      </c>
      <c r="W49">
        <f t="shared" si="14"/>
        <v>212.42313241627483</v>
      </c>
      <c r="X49">
        <f t="shared" si="14"/>
        <v>213.52541764603123</v>
      </c>
      <c r="Y49">
        <f t="shared" si="14"/>
        <v>214.56991795672059</v>
      </c>
      <c r="Z49">
        <f t="shared" si="14"/>
        <v>215.56263244193553</v>
      </c>
      <c r="AA49">
        <f t="shared" si="14"/>
        <v>216.50866064250141</v>
      </c>
      <c r="AB49">
        <f t="shared" si="14"/>
        <v>217.41237488467507</v>
      </c>
      <c r="AC49">
        <f t="shared" si="14"/>
        <v>218.27755309341219</v>
      </c>
      <c r="AD49">
        <f t="shared" si="14"/>
        <v>219.10748250548869</v>
      </c>
      <c r="AE49">
        <f t="shared" si="13"/>
        <v>219.90504162954622</v>
      </c>
    </row>
    <row r="50" spans="7:31" x14ac:dyDescent="0.25">
      <c r="G50" s="2">
        <v>47</v>
      </c>
      <c r="H50">
        <f t="shared" si="11"/>
        <v>70.111213028823727</v>
      </c>
      <c r="I50">
        <f t="shared" si="15"/>
        <v>104.41456991911568</v>
      </c>
      <c r="J50">
        <f t="shared" si="15"/>
        <v>131.80873346182844</v>
      </c>
      <c r="K50">
        <f t="shared" si="15"/>
        <v>155.501551612176</v>
      </c>
      <c r="L50">
        <f t="shared" si="15"/>
        <v>176.77457251895365</v>
      </c>
      <c r="M50">
        <f t="shared" si="12"/>
        <v>196.29887462283813</v>
      </c>
      <c r="N50">
        <f t="shared" si="3"/>
        <v>198.89923072092631</v>
      </c>
      <c r="O50">
        <f t="shared" si="14"/>
        <v>201.17958870240096</v>
      </c>
      <c r="P50">
        <f t="shared" si="14"/>
        <v>203.21269807420441</v>
      </c>
      <c r="Q50">
        <f t="shared" si="14"/>
        <v>205.0487804342861</v>
      </c>
      <c r="R50">
        <f t="shared" si="14"/>
        <v>206.72400614157203</v>
      </c>
      <c r="S50">
        <f t="shared" si="14"/>
        <v>208.26531530668919</v>
      </c>
      <c r="T50">
        <f t="shared" si="14"/>
        <v>209.69332839342164</v>
      </c>
      <c r="U50">
        <f t="shared" si="14"/>
        <v>211.02418992437893</v>
      </c>
      <c r="V50">
        <f t="shared" si="14"/>
        <v>212.27078346188623</v>
      </c>
      <c r="W50">
        <f t="shared" si="14"/>
        <v>213.44355924035912</v>
      </c>
      <c r="X50">
        <f t="shared" si="14"/>
        <v>214.55111406087664</v>
      </c>
      <c r="Y50">
        <f t="shared" si="14"/>
        <v>215.60060759422865</v>
      </c>
      <c r="Z50">
        <f t="shared" si="14"/>
        <v>216.59806763173782</v>
      </c>
      <c r="AA50">
        <f t="shared" si="14"/>
        <v>217.54861810822771</v>
      </c>
      <c r="AB50">
        <f t="shared" si="14"/>
        <v>218.45665226481768</v>
      </c>
      <c r="AC50">
        <f t="shared" si="14"/>
        <v>219.32596609765514</v>
      </c>
      <c r="AD50">
        <f t="shared" si="14"/>
        <v>220.15986256725773</v>
      </c>
      <c r="AE50">
        <f t="shared" si="13"/>
        <v>220.9612339506929</v>
      </c>
    </row>
    <row r="51" spans="7:31" x14ac:dyDescent="0.25">
      <c r="G51" s="2">
        <v>48</v>
      </c>
      <c r="H51">
        <f t="shared" si="11"/>
        <v>70.345576169634569</v>
      </c>
      <c r="I51">
        <f t="shared" si="15"/>
        <v>104.81767496079745</v>
      </c>
      <c r="J51">
        <f t="shared" si="15"/>
        <v>132.35754400102772</v>
      </c>
      <c r="K51">
        <f t="shared" si="15"/>
        <v>156.18245783776706</v>
      </c>
      <c r="L51">
        <f t="shared" si="15"/>
        <v>177.57812602764753</v>
      </c>
      <c r="M51">
        <f t="shared" si="12"/>
        <v>197.21794576327281</v>
      </c>
      <c r="N51">
        <f t="shared" si="3"/>
        <v>199.83041814615845</v>
      </c>
      <c r="O51">
        <f t="shared" si="14"/>
        <v>202.12140076386987</v>
      </c>
      <c r="P51">
        <f t="shared" si="14"/>
        <v>204.1639823040293</v>
      </c>
      <c r="Q51">
        <f t="shared" si="14"/>
        <v>206.00861850084914</v>
      </c>
      <c r="R51">
        <f t="shared" si="14"/>
        <v>207.6916483339005</v>
      </c>
      <c r="S51">
        <f t="shared" si="14"/>
        <v>209.2401374992171</v>
      </c>
      <c r="T51">
        <f t="shared" si="14"/>
        <v>210.67480258236287</v>
      </c>
      <c r="U51">
        <f t="shared" si="14"/>
        <v>212.0118633606356</v>
      </c>
      <c r="V51">
        <f t="shared" si="14"/>
        <v>213.26426344877527</v>
      </c>
      <c r="W51">
        <f t="shared" si="14"/>
        <v>214.44250179002916</v>
      </c>
      <c r="X51">
        <f t="shared" si="14"/>
        <v>215.55521525430007</v>
      </c>
      <c r="Y51">
        <f t="shared" si="14"/>
        <v>216.60959688202104</v>
      </c>
      <c r="Z51">
        <f t="shared" si="14"/>
        <v>217.61170255803643</v>
      </c>
      <c r="AA51">
        <f t="shared" si="14"/>
        <v>218.56668009757135</v>
      </c>
      <c r="AB51">
        <f t="shared" ref="O51:AD67" si="23">($M51*POWER($M$3,LN($M51/$AE51)/LN(4)))/POWER(AB$3,LN($M51/$AE51)/LN(4))</f>
        <v>219.47894321626143</v>
      </c>
      <c r="AC51">
        <f t="shared" si="23"/>
        <v>220.35230560097088</v>
      </c>
      <c r="AD51">
        <f t="shared" si="23"/>
        <v>221.19008560490778</v>
      </c>
      <c r="AE51">
        <f t="shared" si="13"/>
        <v>221.99518898368191</v>
      </c>
    </row>
    <row r="52" spans="7:31" x14ac:dyDescent="0.25">
      <c r="G52" s="2">
        <v>49</v>
      </c>
      <c r="H52">
        <f t="shared" si="11"/>
        <v>70.575106734718119</v>
      </c>
      <c r="I52">
        <f t="shared" si="15"/>
        <v>105.21242542137192</v>
      </c>
      <c r="J52">
        <f t="shared" si="15"/>
        <v>132.8949843296266</v>
      </c>
      <c r="K52">
        <f t="shared" si="15"/>
        <v>156.84927696470962</v>
      </c>
      <c r="L52">
        <f t="shared" si="15"/>
        <v>178.36508246417219</v>
      </c>
      <c r="M52">
        <f t="shared" si="12"/>
        <v>198.11806562634558</v>
      </c>
      <c r="N52">
        <f t="shared" si="3"/>
        <v>200.74240445570288</v>
      </c>
      <c r="O52">
        <f t="shared" si="23"/>
        <v>203.04379262920997</v>
      </c>
      <c r="P52">
        <f t="shared" si="23"/>
        <v>205.09565102123983</v>
      </c>
      <c r="Q52">
        <f t="shared" si="23"/>
        <v>206.94866467436302</v>
      </c>
      <c r="R52">
        <f t="shared" si="23"/>
        <v>208.63933771182684</v>
      </c>
      <c r="S52">
        <f t="shared" si="23"/>
        <v>210.1948588254929</v>
      </c>
      <c r="T52">
        <f t="shared" si="23"/>
        <v>211.63603874066786</v>
      </c>
      <c r="U52">
        <f t="shared" si="23"/>
        <v>212.97917093758159</v>
      </c>
      <c r="V52">
        <f t="shared" si="23"/>
        <v>214.23725784510452</v>
      </c>
      <c r="W52">
        <f t="shared" si="23"/>
        <v>215.42084611093668</v>
      </c>
      <c r="X52">
        <f t="shared" si="23"/>
        <v>216.53861184758313</v>
      </c>
      <c r="Y52">
        <f t="shared" si="23"/>
        <v>217.59778077703646</v>
      </c>
      <c r="Z52">
        <f t="shared" si="23"/>
        <v>218.60443629837249</v>
      </c>
      <c r="AA52">
        <f t="shared" si="23"/>
        <v>219.5637496148027</v>
      </c>
      <c r="AB52">
        <f t="shared" si="23"/>
        <v>220.48015449429334</v>
      </c>
      <c r="AC52">
        <f t="shared" si="23"/>
        <v>221.35748194964202</v>
      </c>
      <c r="AD52">
        <f t="shared" si="23"/>
        <v>222.1990654093492</v>
      </c>
      <c r="AE52">
        <f t="shared" si="13"/>
        <v>223.00782382963877</v>
      </c>
    </row>
    <row r="53" spans="7:31" x14ac:dyDescent="0.25">
      <c r="G53" s="2">
        <v>50</v>
      </c>
      <c r="H53">
        <f>$B$9</f>
        <v>70.8</v>
      </c>
      <c r="I53">
        <f t="shared" si="15"/>
        <v>105.59916022739935</v>
      </c>
      <c r="J53">
        <f t="shared" si="15"/>
        <v>133.42151556565446</v>
      </c>
      <c r="K53">
        <f t="shared" si="15"/>
        <v>157.50257967135539</v>
      </c>
      <c r="L53">
        <f t="shared" si="15"/>
        <v>179.13611333961251</v>
      </c>
      <c r="M53">
        <f>$C$9</f>
        <v>199</v>
      </c>
      <c r="N53">
        <f t="shared" si="3"/>
        <v>201.63596553303705</v>
      </c>
      <c r="O53">
        <f t="shared" si="23"/>
        <v>203.94754903455865</v>
      </c>
      <c r="P53">
        <f t="shared" si="23"/>
        <v>206.00849685437282</v>
      </c>
      <c r="Q53">
        <f t="shared" si="23"/>
        <v>207.86971871059023</v>
      </c>
      <c r="R53">
        <f t="shared" si="23"/>
        <v>209.56788053366455</v>
      </c>
      <c r="S53">
        <f t="shared" si="23"/>
        <v>211.13029152634635</v>
      </c>
      <c r="T53">
        <f t="shared" si="23"/>
        <v>212.57785465173902</v>
      </c>
      <c r="U53">
        <f t="shared" si="23"/>
        <v>213.92693560395193</v>
      </c>
      <c r="V53">
        <f t="shared" si="23"/>
        <v>215.1905944377387</v>
      </c>
      <c r="W53">
        <f t="shared" si="23"/>
        <v>216.37942454145821</v>
      </c>
      <c r="X53">
        <f t="shared" si="23"/>
        <v>217.5021404773828</v>
      </c>
      <c r="Y53">
        <f t="shared" si="23"/>
        <v>218.56599998878465</v>
      </c>
      <c r="Z53">
        <f t="shared" si="23"/>
        <v>219.57711343308952</v>
      </c>
      <c r="AA53">
        <f t="shared" si="23"/>
        <v>220.54067492897758</v>
      </c>
      <c r="AB53">
        <f t="shared" si="23"/>
        <v>221.4611378916199</v>
      </c>
      <c r="AC53">
        <f t="shared" si="23"/>
        <v>222.34235030970419</v>
      </c>
      <c r="AD53">
        <f t="shared" si="23"/>
        <v>223.18766038245079</v>
      </c>
      <c r="AE53">
        <f>$D$9</f>
        <v>224</v>
      </c>
    </row>
    <row r="54" spans="7:31" x14ac:dyDescent="0.25">
      <c r="G54" s="2">
        <v>51</v>
      </c>
      <c r="H54">
        <f>H$53+(H$103-H$53)*(LN($G54)-LN($G$53))/(LN($G$103)-LN($G$53))</f>
        <v>71.02569630235449</v>
      </c>
      <c r="I54">
        <f t="shared" si="15"/>
        <v>106.02250339766951</v>
      </c>
      <c r="J54">
        <f t="shared" si="15"/>
        <v>134.0205280400877</v>
      </c>
      <c r="K54">
        <f t="shared" si="15"/>
        <v>158.26344283704279</v>
      </c>
      <c r="L54">
        <f t="shared" si="15"/>
        <v>180.04890371871986</v>
      </c>
      <c r="M54">
        <f>M$53+(M$103-M$53)*(LN($G54)-LN($G$53))/(LN($G$103)-LN($G$53))</f>
        <v>200.05705863128051</v>
      </c>
      <c r="N54">
        <f t="shared" si="3"/>
        <v>202.70517223722698</v>
      </c>
      <c r="O54">
        <f t="shared" si="23"/>
        <v>205.02738905822957</v>
      </c>
      <c r="P54">
        <f t="shared" si="23"/>
        <v>207.09780183847542</v>
      </c>
      <c r="Q54">
        <f t="shared" si="23"/>
        <v>208.96755903400881</v>
      </c>
      <c r="R54">
        <f t="shared" si="23"/>
        <v>210.67349826949015</v>
      </c>
      <c r="S54">
        <f t="shared" si="23"/>
        <v>212.2430564617037</v>
      </c>
      <c r="T54">
        <f t="shared" si="23"/>
        <v>213.69723421343278</v>
      </c>
      <c r="U54">
        <f t="shared" si="23"/>
        <v>215.05247358214524</v>
      </c>
      <c r="V54">
        <f t="shared" si="23"/>
        <v>216.32189550110886</v>
      </c>
      <c r="W54">
        <f t="shared" si="23"/>
        <v>217.51614269349</v>
      </c>
      <c r="X54">
        <f t="shared" si="23"/>
        <v>218.64397027152114</v>
      </c>
      <c r="Y54">
        <f t="shared" si="23"/>
        <v>219.7126697224445</v>
      </c>
      <c r="Z54">
        <f t="shared" si="23"/>
        <v>220.72837979147184</v>
      </c>
      <c r="AA54">
        <f t="shared" si="23"/>
        <v>221.69631871106969</v>
      </c>
      <c r="AB54">
        <f t="shared" si="23"/>
        <v>222.6209605574266</v>
      </c>
      <c r="AC54">
        <f t="shared" si="23"/>
        <v>223.50617115993444</v>
      </c>
      <c r="AD54">
        <f t="shared" si="23"/>
        <v>224.35531423176687</v>
      </c>
      <c r="AE54">
        <f>AE$53+(AE$103-AE$53)*(LN($G54)-LN($G$53))/(LN($G$103)-LN($G$53))</f>
        <v>225.17133524006761</v>
      </c>
    </row>
    <row r="55" spans="7:31" x14ac:dyDescent="0.25">
      <c r="G55" s="2">
        <v>52</v>
      </c>
      <c r="H55">
        <f t="shared" ref="H55:H102" si="24">H$53+(H$103-H$53)*(LN($G55)-LN($G$53))/(LN($G$103)-LN($G$53))</f>
        <v>71.247009874094303</v>
      </c>
      <c r="I55">
        <f t="shared" si="15"/>
        <v>106.43751745687828</v>
      </c>
      <c r="J55">
        <f t="shared" si="15"/>
        <v>134.60777152478948</v>
      </c>
      <c r="K55">
        <f t="shared" si="15"/>
        <v>159.00941165676232</v>
      </c>
      <c r="L55">
        <f t="shared" si="15"/>
        <v>180.94389799647726</v>
      </c>
      <c r="M55">
        <f t="shared" ref="M55:M102" si="25">M$53+(M$103-M$53)*(LN($G55)-LN($G$53))/(LN($G$103)-LN($G$53))</f>
        <v>201.09359054955561</v>
      </c>
      <c r="N55">
        <f t="shared" si="3"/>
        <v>203.75361619830213</v>
      </c>
      <c r="O55">
        <f t="shared" si="23"/>
        <v>206.08625976450639</v>
      </c>
      <c r="P55">
        <f t="shared" si="23"/>
        <v>208.1659536484774</v>
      </c>
      <c r="Q55">
        <f t="shared" si="23"/>
        <v>210.04408040054716</v>
      </c>
      <c r="R55">
        <f t="shared" si="23"/>
        <v>211.75764600026125</v>
      </c>
      <c r="S55">
        <f t="shared" si="23"/>
        <v>213.33421259467934</v>
      </c>
      <c r="T55">
        <f t="shared" si="23"/>
        <v>214.79487652751467</v>
      </c>
      <c r="U55">
        <f t="shared" si="23"/>
        <v>216.15615473468571</v>
      </c>
      <c r="V55">
        <f t="shared" si="23"/>
        <v>217.43122784424304</v>
      </c>
      <c r="W55">
        <f t="shared" si="23"/>
        <v>218.6307869549384</v>
      </c>
      <c r="X55">
        <f t="shared" si="23"/>
        <v>219.76362694058767</v>
      </c>
      <c r="Y55">
        <f t="shared" si="23"/>
        <v>220.83707237638046</v>
      </c>
      <c r="Z55">
        <f t="shared" si="23"/>
        <v>221.85728984344786</v>
      </c>
      <c r="AA55">
        <f t="shared" si="23"/>
        <v>222.82952121928415</v>
      </c>
      <c r="AB55">
        <f t="shared" si="23"/>
        <v>223.75826083947322</v>
      </c>
      <c r="AC55">
        <f t="shared" si="23"/>
        <v>224.64739202732594</v>
      </c>
      <c r="AD55">
        <f t="shared" si="23"/>
        <v>225.50029370842222</v>
      </c>
      <c r="AE55">
        <f t="shared" ref="AE55:AE102" si="26">AE$53+(AE$103-AE$53)*(LN($G55)-LN($G$53))/(LN($G$103)-LN($G$53))</f>
        <v>226.31992466302108</v>
      </c>
    </row>
    <row r="56" spans="7:31" x14ac:dyDescent="0.25">
      <c r="G56" s="2">
        <v>53</v>
      </c>
      <c r="H56">
        <f t="shared" si="24"/>
        <v>71.464107691828943</v>
      </c>
      <c r="I56">
        <f t="shared" si="15"/>
        <v>106.84452308859601</v>
      </c>
      <c r="J56">
        <f t="shared" si="15"/>
        <v>135.18369858375164</v>
      </c>
      <c r="K56">
        <f t="shared" si="15"/>
        <v>159.74105719275323</v>
      </c>
      <c r="L56">
        <f t="shared" si="15"/>
        <v>181.82177630669446</v>
      </c>
      <c r="M56">
        <f t="shared" si="25"/>
        <v>202.11037779717356</v>
      </c>
      <c r="N56">
        <f t="shared" si="3"/>
        <v>204.78208845543224</v>
      </c>
      <c r="O56">
        <f t="shared" si="23"/>
        <v>207.12496006576731</v>
      </c>
      <c r="P56">
        <f t="shared" si="23"/>
        <v>209.21375820346393</v>
      </c>
      <c r="Q56">
        <f t="shared" si="23"/>
        <v>211.10009504666942</v>
      </c>
      <c r="R56">
        <f t="shared" si="23"/>
        <v>212.82114171789257</v>
      </c>
      <c r="S56">
        <f t="shared" si="23"/>
        <v>214.40458320546259</v>
      </c>
      <c r="T56">
        <f t="shared" si="23"/>
        <v>215.87160976770346</v>
      </c>
      <c r="U56">
        <f t="shared" si="23"/>
        <v>217.23881179071813</v>
      </c>
      <c r="V56">
        <f t="shared" si="23"/>
        <v>218.51942845875865</v>
      </c>
      <c r="W56">
        <f t="shared" si="23"/>
        <v>219.724198323526</v>
      </c>
      <c r="X56">
        <f t="shared" si="23"/>
        <v>220.86195526211037</v>
      </c>
      <c r="Y56">
        <f t="shared" si="23"/>
        <v>221.94005630664557</v>
      </c>
      <c r="Z56">
        <f t="shared" si="23"/>
        <v>222.96469534336126</v>
      </c>
      <c r="AA56">
        <f t="shared" si="23"/>
        <v>223.94113744389651</v>
      </c>
      <c r="AB56">
        <f t="shared" si="23"/>
        <v>224.87389681692389</v>
      </c>
      <c r="AC56">
        <f t="shared" si="23"/>
        <v>225.76687394611142</v>
      </c>
      <c r="AD56">
        <f t="shared" si="23"/>
        <v>226.62346267939671</v>
      </c>
      <c r="AE56">
        <f t="shared" si="26"/>
        <v>227.44663485632748</v>
      </c>
    </row>
    <row r="57" spans="7:31" x14ac:dyDescent="0.25">
      <c r="G57" s="2">
        <v>54</v>
      </c>
      <c r="H57">
        <f t="shared" si="24"/>
        <v>71.677147367871072</v>
      </c>
      <c r="I57">
        <f t="shared" si="15"/>
        <v>107.24382282290181</v>
      </c>
      <c r="J57">
        <f t="shared" si="15"/>
        <v>135.74873619198596</v>
      </c>
      <c r="K57">
        <f t="shared" si="15"/>
        <v>160.45891830267408</v>
      </c>
      <c r="L57">
        <f t="shared" si="15"/>
        <v>182.68318053568115</v>
      </c>
      <c r="M57">
        <f t="shared" si="25"/>
        <v>203.10815855838354</v>
      </c>
      <c r="N57">
        <f t="shared" si="3"/>
        <v>205.79133568490019</v>
      </c>
      <c r="O57">
        <f t="shared" si="23"/>
        <v>208.14424406980334</v>
      </c>
      <c r="P57">
        <f t="shared" si="23"/>
        <v>210.24197622487981</v>
      </c>
      <c r="Q57">
        <f t="shared" si="23"/>
        <v>212.13636965684401</v>
      </c>
      <c r="R57">
        <f t="shared" si="23"/>
        <v>213.86475753949108</v>
      </c>
      <c r="S57">
        <f t="shared" si="23"/>
        <v>215.45494540284625</v>
      </c>
      <c r="T57">
        <f t="shared" si="23"/>
        <v>216.9282156618892</v>
      </c>
      <c r="U57">
        <f t="shared" si="23"/>
        <v>218.3012307781018</v>
      </c>
      <c r="V57">
        <f t="shared" si="23"/>
        <v>219.58728739597245</v>
      </c>
      <c r="W57">
        <f t="shared" si="23"/>
        <v>220.79717063204652</v>
      </c>
      <c r="X57">
        <f t="shared" si="23"/>
        <v>221.93975263675981</v>
      </c>
      <c r="Y57">
        <f t="shared" si="23"/>
        <v>223.0224222918014</v>
      </c>
      <c r="Z57">
        <f t="shared" si="23"/>
        <v>224.05140027754339</v>
      </c>
      <c r="AA57">
        <f t="shared" si="23"/>
        <v>225.03197442575981</v>
      </c>
      <c r="AB57">
        <f t="shared" si="23"/>
        <v>225.96867844636003</v>
      </c>
      <c r="AC57">
        <f t="shared" si="23"/>
        <v>226.86542966228896</v>
      </c>
      <c r="AD57">
        <f t="shared" si="23"/>
        <v>227.72563656464618</v>
      </c>
      <c r="AE57">
        <f t="shared" si="26"/>
        <v>228.55228380793852</v>
      </c>
    </row>
    <row r="58" spans="7:31" x14ac:dyDescent="0.25">
      <c r="G58" s="2">
        <v>55</v>
      </c>
      <c r="H58">
        <f t="shared" si="24"/>
        <v>71.88627783762449</v>
      </c>
      <c r="I58">
        <f t="shared" si="15"/>
        <v>107.63570238055833</v>
      </c>
      <c r="J58">
        <f t="shared" si="15"/>
        <v>136.3032876280931</v>
      </c>
      <c r="K58">
        <f t="shared" si="15"/>
        <v>161.16350401567792</v>
      </c>
      <c r="L58">
        <f t="shared" si="15"/>
        <v>183.52871713686207</v>
      </c>
      <c r="M58">
        <f t="shared" si="25"/>
        <v>204.0876303787476</v>
      </c>
      <c r="N58">
        <f t="shared" si="3"/>
        <v>206.78206345658421</v>
      </c>
      <c r="O58">
        <f t="shared" si="23"/>
        <v>209.14482436873459</v>
      </c>
      <c r="P58">
        <f t="shared" si="23"/>
        <v>211.25132655430608</v>
      </c>
      <c r="Q58">
        <f t="shared" si="23"/>
        <v>213.15362870733654</v>
      </c>
      <c r="R58">
        <f t="shared" si="23"/>
        <v>214.88922307484816</v>
      </c>
      <c r="S58">
        <f t="shared" si="23"/>
        <v>216.48603351349115</v>
      </c>
      <c r="T58">
        <f t="shared" si="23"/>
        <v>217.9654329015417</v>
      </c>
      <c r="U58">
        <f t="shared" si="23"/>
        <v>219.34415445156995</v>
      </c>
      <c r="V58">
        <f t="shared" si="23"/>
        <v>220.63555121260251</v>
      </c>
      <c r="W58">
        <f t="shared" si="23"/>
        <v>221.85045401055308</v>
      </c>
      <c r="X58">
        <f t="shared" si="23"/>
        <v>222.99777256609011</v>
      </c>
      <c r="Y58">
        <f t="shared" si="23"/>
        <v>224.08492702538285</v>
      </c>
      <c r="Z58">
        <f t="shared" si="23"/>
        <v>225.11816437075953</v>
      </c>
      <c r="AA58">
        <f t="shared" si="23"/>
        <v>226.10279477606167</v>
      </c>
      <c r="AB58">
        <f t="shared" si="23"/>
        <v>227.0433710942433</v>
      </c>
      <c r="AC58">
        <f t="shared" si="23"/>
        <v>227.94382717823939</v>
      </c>
      <c r="AD58">
        <f t="shared" si="23"/>
        <v>228.80758589337051</v>
      </c>
      <c r="AE58">
        <f t="shared" si="26"/>
        <v>229.63764447374734</v>
      </c>
    </row>
    <row r="59" spans="7:31" x14ac:dyDescent="0.25">
      <c r="G59" s="2">
        <v>56</v>
      </c>
      <c r="H59">
        <f t="shared" si="24"/>
        <v>72.091639985034746</v>
      </c>
      <c r="I59">
        <f t="shared" si="15"/>
        <v>108.02043189506817</v>
      </c>
      <c r="J59">
        <f t="shared" si="15"/>
        <v>136.84773419508483</v>
      </c>
      <c r="K59">
        <f t="shared" si="15"/>
        <v>161.85529569336009</v>
      </c>
      <c r="L59">
        <f t="shared" si="15"/>
        <v>184.35895969117993</v>
      </c>
      <c r="M59">
        <f t="shared" si="25"/>
        <v>205.04945309446657</v>
      </c>
      <c r="N59">
        <f t="shared" si="3"/>
        <v>207.75493919701316</v>
      </c>
      <c r="O59">
        <f t="shared" si="23"/>
        <v>210.12737503157732</v>
      </c>
      <c r="P59">
        <f t="shared" si="23"/>
        <v>212.24248917228496</v>
      </c>
      <c r="Q59">
        <f t="shared" si="23"/>
        <v>214.15255750870668</v>
      </c>
      <c r="R59">
        <f t="shared" si="23"/>
        <v>215.89522849049928</v>
      </c>
      <c r="S59">
        <f t="shared" si="23"/>
        <v>217.49854216579587</v>
      </c>
      <c r="T59">
        <f t="shared" si="23"/>
        <v>218.9839602439101</v>
      </c>
      <c r="U59">
        <f t="shared" si="23"/>
        <v>220.36828541199026</v>
      </c>
      <c r="V59">
        <f t="shared" si="23"/>
        <v>221.66492610599107</v>
      </c>
      <c r="W59">
        <f t="shared" si="23"/>
        <v>222.88475803658133</v>
      </c>
      <c r="X59">
        <f t="shared" si="23"/>
        <v>224.03672781691472</v>
      </c>
      <c r="Y59">
        <f t="shared" si="23"/>
        <v>225.12828629367081</v>
      </c>
      <c r="Z59">
        <f t="shared" si="23"/>
        <v>226.16570627670256</v>
      </c>
      <c r="AA59">
        <f t="shared" si="23"/>
        <v>227.15431987893172</v>
      </c>
      <c r="AB59">
        <f t="shared" si="23"/>
        <v>228.09869875108447</v>
      </c>
      <c r="AC59">
        <f t="shared" si="23"/>
        <v>229.00279297795481</v>
      </c>
      <c r="AD59">
        <f t="shared" si="23"/>
        <v>229.8700395398435</v>
      </c>
      <c r="AE59">
        <f t="shared" si="26"/>
        <v>230.70344802359807</v>
      </c>
    </row>
    <row r="60" spans="7:31" x14ac:dyDescent="0.25">
      <c r="G60" s="2">
        <v>57</v>
      </c>
      <c r="H60">
        <f t="shared" si="24"/>
        <v>72.293367212681133</v>
      </c>
      <c r="I60">
        <f t="shared" si="15"/>
        <v>108.39826702568698</v>
      </c>
      <c r="J60">
        <f t="shared" si="15"/>
        <v>137.3824367878286</v>
      </c>
      <c r="K60">
        <f t="shared" si="15"/>
        <v>162.53474899853623</v>
      </c>
      <c r="L60">
        <f t="shared" si="15"/>
        <v>185.17445124035351</v>
      </c>
      <c r="M60">
        <f t="shared" si="25"/>
        <v>205.99425150243064</v>
      </c>
      <c r="N60">
        <f t="shared" si="3"/>
        <v>208.71059489015951</v>
      </c>
      <c r="O60">
        <f t="shared" si="23"/>
        <v>211.09253433193422</v>
      </c>
      <c r="P60">
        <f t="shared" si="23"/>
        <v>213.21610794994493</v>
      </c>
      <c r="Q60">
        <f t="shared" si="23"/>
        <v>215.13380497900914</v>
      </c>
      <c r="R60">
        <f t="shared" si="23"/>
        <v>216.88342730257949</v>
      </c>
      <c r="S60">
        <f t="shared" si="23"/>
        <v>218.4931291008092</v>
      </c>
      <c r="T60">
        <f t="shared" si="23"/>
        <v>219.98445933964217</v>
      </c>
      <c r="U60">
        <f t="shared" si="23"/>
        <v>221.37428894953518</v>
      </c>
      <c r="V60">
        <f t="shared" si="23"/>
        <v>222.67608077182462</v>
      </c>
      <c r="W60">
        <f t="shared" si="23"/>
        <v>223.90075460654339</v>
      </c>
      <c r="X60">
        <f t="shared" si="23"/>
        <v>225.05729330559942</v>
      </c>
      <c r="Y60">
        <f t="shared" si="23"/>
        <v>226.15317787219749</v>
      </c>
      <c r="Z60">
        <f t="shared" si="23"/>
        <v>227.19470648609422</v>
      </c>
      <c r="AA60">
        <f t="shared" si="23"/>
        <v>228.18723281058308</v>
      </c>
      <c r="AB60">
        <f t="shared" si="23"/>
        <v>229.13534696112353</v>
      </c>
      <c r="AC60">
        <f t="shared" si="23"/>
        <v>230.04301496680026</v>
      </c>
      <c r="AD60">
        <f t="shared" si="23"/>
        <v>230.91368767283763</v>
      </c>
      <c r="AE60">
        <f t="shared" si="26"/>
        <v>231.75038679999071</v>
      </c>
    </row>
    <row r="61" spans="7:31" x14ac:dyDescent="0.25">
      <c r="G61" s="2">
        <v>58</v>
      </c>
      <c r="H61">
        <f t="shared" si="24"/>
        <v>72.491585962287488</v>
      </c>
      <c r="I61">
        <f t="shared" si="15"/>
        <v>108.76944997286164</v>
      </c>
      <c r="J61">
        <f t="shared" si="15"/>
        <v>137.90773732322705</v>
      </c>
      <c r="K61">
        <f t="shared" si="15"/>
        <v>163.20229569199407</v>
      </c>
      <c r="L61">
        <f t="shared" si="15"/>
        <v>185.9757064167446</v>
      </c>
      <c r="M61">
        <f t="shared" si="25"/>
        <v>206.92261779805534</v>
      </c>
      <c r="N61">
        <f t="shared" si="3"/>
        <v>209.64962954334254</v>
      </c>
      <c r="O61">
        <f t="shared" si="23"/>
        <v>212.04090723845613</v>
      </c>
      <c r="P61">
        <f t="shared" si="23"/>
        <v>214.17279316131345</v>
      </c>
      <c r="Q61">
        <f t="shared" si="23"/>
        <v>216.09798617580597</v>
      </c>
      <c r="R61">
        <f t="shared" si="23"/>
        <v>217.85443892678049</v>
      </c>
      <c r="S61">
        <f t="shared" si="23"/>
        <v>219.47041773867366</v>
      </c>
      <c r="T61">
        <f t="shared" si="23"/>
        <v>220.96755731448175</v>
      </c>
      <c r="U61">
        <f t="shared" si="23"/>
        <v>222.36279563957837</v>
      </c>
      <c r="V61">
        <f t="shared" si="23"/>
        <v>223.66964901331446</v>
      </c>
      <c r="W61">
        <f t="shared" si="23"/>
        <v>224.89908055739215</v>
      </c>
      <c r="X61">
        <f t="shared" si="23"/>
        <v>226.06010873150532</v>
      </c>
      <c r="Y61">
        <f t="shared" si="23"/>
        <v>227.16024417033907</v>
      </c>
      <c r="Z61">
        <f t="shared" si="23"/>
        <v>228.20580998186546</v>
      </c>
      <c r="AA61">
        <f t="shared" si="23"/>
        <v>229.20218100457441</v>
      </c>
      <c r="AB61">
        <f t="shared" si="23"/>
        <v>230.15396549721399</v>
      </c>
      <c r="AC61">
        <f t="shared" si="23"/>
        <v>231.06514515560232</v>
      </c>
      <c r="AD61">
        <f t="shared" si="23"/>
        <v>231.93918444853645</v>
      </c>
      <c r="AE61">
        <f t="shared" si="26"/>
        <v>232.77911701946672</v>
      </c>
    </row>
    <row r="62" spans="7:31" x14ac:dyDescent="0.25">
      <c r="G62" s="2">
        <v>59</v>
      </c>
      <c r="H62">
        <f t="shared" si="24"/>
        <v>72.686416190738228</v>
      </c>
      <c r="I62">
        <f t="shared" si="15"/>
        <v>109.13421040618049</v>
      </c>
      <c r="J62">
        <f t="shared" si="15"/>
        <v>138.4239600473073</v>
      </c>
      <c r="K62">
        <f t="shared" si="15"/>
        <v>163.85834527494691</v>
      </c>
      <c r="L62">
        <f t="shared" si="15"/>
        <v>186.76321339074775</v>
      </c>
      <c r="M62">
        <f t="shared" si="25"/>
        <v>207.83511380472333</v>
      </c>
      <c r="N62">
        <f t="shared" si="3"/>
        <v>210.57261144233783</v>
      </c>
      <c r="O62">
        <f t="shared" si="23"/>
        <v>212.97306769240913</v>
      </c>
      <c r="P62">
        <f t="shared" si="23"/>
        <v>215.11312378086802</v>
      </c>
      <c r="Q62">
        <f t="shared" si="23"/>
        <v>217.04568461173255</v>
      </c>
      <c r="R62">
        <f t="shared" si="23"/>
        <v>218.80885101032743</v>
      </c>
      <c r="S62">
        <f t="shared" si="23"/>
        <v>220.43099952567889</v>
      </c>
      <c r="T62">
        <f t="shared" si="23"/>
        <v>221.93384913027265</v>
      </c>
      <c r="U62">
        <f t="shared" si="23"/>
        <v>223.33440371668345</v>
      </c>
      <c r="V62">
        <f t="shared" si="23"/>
        <v>224.64623212733451</v>
      </c>
      <c r="W62">
        <f t="shared" si="23"/>
        <v>225.88034006417686</v>
      </c>
      <c r="X62">
        <f t="shared" si="23"/>
        <v>227.04578098531567</v>
      </c>
      <c r="Y62">
        <f t="shared" si="23"/>
        <v>228.15009464983959</v>
      </c>
      <c r="Z62">
        <f t="shared" si="23"/>
        <v>229.19962866736319</v>
      </c>
      <c r="AA62">
        <f t="shared" si="23"/>
        <v>230.19977868923584</v>
      </c>
      <c r="AB62">
        <f t="shared" si="23"/>
        <v>231.15517080704896</v>
      </c>
      <c r="AC62">
        <f t="shared" si="23"/>
        <v>232.06980211529432</v>
      </c>
      <c r="AD62">
        <f t="shared" si="23"/>
        <v>232.94715047324834</v>
      </c>
      <c r="AE62">
        <f t="shared" si="26"/>
        <v>233.7902612430718</v>
      </c>
    </row>
    <row r="63" spans="7:31" x14ac:dyDescent="0.25">
      <c r="G63" s="2">
        <v>60</v>
      </c>
      <c r="H63">
        <f t="shared" si="24"/>
        <v>72.877971806086961</v>
      </c>
      <c r="I63">
        <f t="shared" si="15"/>
        <v>109.49276631372601</v>
      </c>
      <c r="J63">
        <f t="shared" si="15"/>
        <v>138.93141273171594</v>
      </c>
      <c r="K63">
        <f t="shared" si="15"/>
        <v>164.50328649281772</v>
      </c>
      <c r="L63">
        <f t="shared" si="15"/>
        <v>187.53743565414422</v>
      </c>
      <c r="M63">
        <f t="shared" si="25"/>
        <v>208.73227301585035</v>
      </c>
      <c r="N63">
        <f t="shared" si="3"/>
        <v>211.48008021695179</v>
      </c>
      <c r="O63">
        <f t="shared" si="23"/>
        <v>213.88956069381902</v>
      </c>
      <c r="P63">
        <f t="shared" si="23"/>
        <v>216.0376495879843</v>
      </c>
      <c r="Q63">
        <f t="shared" si="23"/>
        <v>217.97745437544631</v>
      </c>
      <c r="R63">
        <f t="shared" si="23"/>
        <v>219.7472215679586</v>
      </c>
      <c r="S63">
        <f t="shared" si="23"/>
        <v>221.37543608405153</v>
      </c>
      <c r="T63">
        <f t="shared" si="23"/>
        <v>222.88389974752596</v>
      </c>
      <c r="U63">
        <f t="shared" si="23"/>
        <v>224.28968124906507</v>
      </c>
      <c r="V63">
        <f t="shared" si="23"/>
        <v>225.60640109001048</v>
      </c>
      <c r="W63">
        <f t="shared" si="23"/>
        <v>226.84510683608963</v>
      </c>
      <c r="X63">
        <f t="shared" si="23"/>
        <v>228.01488635494871</v>
      </c>
      <c r="Y63">
        <f t="shared" si="23"/>
        <v>229.12330804006456</v>
      </c>
      <c r="Z63">
        <f t="shared" si="23"/>
        <v>230.17674359047314</v>
      </c>
      <c r="AA63">
        <f t="shared" si="23"/>
        <v>231.18060912023691</v>
      </c>
      <c r="AB63">
        <f t="shared" si="23"/>
        <v>232.13954825378977</v>
      </c>
      <c r="AC63">
        <f t="shared" si="23"/>
        <v>233.05757322525537</v>
      </c>
      <c r="AD63">
        <f t="shared" si="23"/>
        <v>233.93817505913796</v>
      </c>
      <c r="AE63">
        <f t="shared" si="26"/>
        <v>234.78441063918552</v>
      </c>
    </row>
    <row r="64" spans="7:31" x14ac:dyDescent="0.25">
      <c r="G64" s="2">
        <v>61</v>
      </c>
      <c r="H64">
        <f t="shared" si="24"/>
        <v>73.066361067526472</v>
      </c>
      <c r="I64">
        <f t="shared" si="15"/>
        <v>109.84532478068422</v>
      </c>
      <c r="J64">
        <f t="shared" si="15"/>
        <v>139.43038777065877</v>
      </c>
      <c r="K64">
        <f t="shared" si="15"/>
        <v>165.13748871416831</v>
      </c>
      <c r="L64">
        <f t="shared" si="15"/>
        <v>188.29881365572555</v>
      </c>
      <c r="M64">
        <f t="shared" si="25"/>
        <v>209.61460246816199</v>
      </c>
      <c r="N64">
        <f t="shared" si="3"/>
        <v>212.3725487358638</v>
      </c>
      <c r="O64">
        <f t="shared" si="23"/>
        <v>214.79090421518302</v>
      </c>
      <c r="P64">
        <f t="shared" si="23"/>
        <v>216.94689309743723</v>
      </c>
      <c r="Q64">
        <f t="shared" si="23"/>
        <v>218.89382207726484</v>
      </c>
      <c r="R64">
        <f t="shared" si="23"/>
        <v>220.67008094135272</v>
      </c>
      <c r="S64">
        <f t="shared" si="23"/>
        <v>222.30426118405046</v>
      </c>
      <c r="T64">
        <f t="shared" si="23"/>
        <v>223.81824610923681</v>
      </c>
      <c r="U64">
        <f t="shared" si="23"/>
        <v>225.22916813331651</v>
      </c>
      <c r="V64">
        <f t="shared" si="23"/>
        <v>226.55069856165554</v>
      </c>
      <c r="W64">
        <f t="shared" si="23"/>
        <v>227.79392613099517</v>
      </c>
      <c r="X64">
        <f t="shared" si="23"/>
        <v>228.96797254913847</v>
      </c>
      <c r="Y64">
        <f t="shared" si="23"/>
        <v>230.0804343701497</v>
      </c>
      <c r="Z64">
        <f t="shared" si="23"/>
        <v>231.13770698390505</v>
      </c>
      <c r="AA64">
        <f t="shared" si="23"/>
        <v>232.14522662861904</v>
      </c>
      <c r="AB64">
        <f t="shared" si="23"/>
        <v>233.10765417149324</v>
      </c>
      <c r="AC64">
        <f t="shared" si="23"/>
        <v>234.02901673581189</v>
      </c>
      <c r="AD64">
        <f t="shared" si="23"/>
        <v>234.9128182935078</v>
      </c>
      <c r="AE64">
        <f t="shared" si="26"/>
        <v>235.76212705931462</v>
      </c>
    </row>
    <row r="65" spans="7:31" x14ac:dyDescent="0.25">
      <c r="G65" s="2">
        <v>62</v>
      </c>
      <c r="H65">
        <f t="shared" si="24"/>
        <v>73.251686952835982</v>
      </c>
      <c r="I65">
        <f t="shared" si="15"/>
        <v>110.19208270416451</v>
      </c>
      <c r="J65">
        <f t="shared" si="15"/>
        <v>139.92116318806231</v>
      </c>
      <c r="K65">
        <f t="shared" si="15"/>
        <v>165.761303197009</v>
      </c>
      <c r="L65">
        <f t="shared" si="15"/>
        <v>189.04776630363347</v>
      </c>
      <c r="M65">
        <f t="shared" si="25"/>
        <v>210.48258446264958</v>
      </c>
      <c r="N65">
        <f t="shared" si="3"/>
        <v>213.25050484739319</v>
      </c>
      <c r="O65">
        <f t="shared" si="23"/>
        <v>215.67759095957015</v>
      </c>
      <c r="P65">
        <f t="shared" si="23"/>
        <v>217.84135133292708</v>
      </c>
      <c r="Q65">
        <f t="shared" si="23"/>
        <v>219.79528863659709</v>
      </c>
      <c r="R65">
        <f t="shared" si="23"/>
        <v>221.57793359922724</v>
      </c>
      <c r="S65">
        <f t="shared" si="23"/>
        <v>223.21798255570329</v>
      </c>
      <c r="T65">
        <f t="shared" si="23"/>
        <v>224.73739896338955</v>
      </c>
      <c r="U65">
        <f t="shared" si="23"/>
        <v>226.15337792693842</v>
      </c>
      <c r="V65">
        <f t="shared" si="23"/>
        <v>227.47964072867748</v>
      </c>
      <c r="W65">
        <f t="shared" si="23"/>
        <v>228.72731660615128</v>
      </c>
      <c r="X65">
        <f t="shared" si="23"/>
        <v>229.90556055647053</v>
      </c>
      <c r="Y65">
        <f t="shared" si="23"/>
        <v>231.02199683590877</v>
      </c>
      <c r="Z65">
        <f t="shared" si="23"/>
        <v>232.08304413957535</v>
      </c>
      <c r="AA65">
        <f t="shared" si="23"/>
        <v>233.09415850229567</v>
      </c>
      <c r="AB65">
        <f t="shared" si="23"/>
        <v>234.06001775340539</v>
      </c>
      <c r="AC65">
        <f t="shared" si="23"/>
        <v>234.98466366303032</v>
      </c>
      <c r="AD65">
        <f t="shared" si="23"/>
        <v>235.87161293982086</v>
      </c>
      <c r="AE65">
        <f t="shared" si="26"/>
        <v>236.72394494509817</v>
      </c>
    </row>
    <row r="66" spans="7:31" x14ac:dyDescent="0.25">
      <c r="G66" s="2">
        <v>63</v>
      </c>
      <c r="H66">
        <f t="shared" si="24"/>
        <v>73.434047496429017</v>
      </c>
      <c r="I66">
        <f t="shared" si="15"/>
        <v>110.53322745039931</v>
      </c>
      <c r="J66">
        <f t="shared" si="15"/>
        <v>140.40400356363028</v>
      </c>
      <c r="K66">
        <f t="shared" si="15"/>
        <v>166.37506425334692</v>
      </c>
      <c r="L66">
        <f t="shared" si="15"/>
        <v>189.78469234723812</v>
      </c>
      <c r="M66">
        <f t="shared" si="25"/>
        <v>211.33667814783209</v>
      </c>
      <c r="N66">
        <f t="shared" si="3"/>
        <v>214.11441298098586</v>
      </c>
      <c r="O66">
        <f t="shared" si="23"/>
        <v>216.55008997805575</v>
      </c>
      <c r="P66">
        <f t="shared" si="23"/>
        <v>218.72149745870325</v>
      </c>
      <c r="Q66">
        <f t="shared" si="23"/>
        <v>220.68233092636027</v>
      </c>
      <c r="R66">
        <f t="shared" si="23"/>
        <v>222.47125979340925</v>
      </c>
      <c r="S66">
        <f t="shared" si="23"/>
        <v>224.11708355558417</v>
      </c>
      <c r="T66">
        <f t="shared" si="23"/>
        <v>225.64184453964216</v>
      </c>
      <c r="U66">
        <f t="shared" si="23"/>
        <v>227.06279953424502</v>
      </c>
      <c r="V66">
        <f t="shared" si="23"/>
        <v>228.39371899811306</v>
      </c>
      <c r="W66">
        <f t="shared" si="23"/>
        <v>229.64577202085178</v>
      </c>
      <c r="X66">
        <f t="shared" si="23"/>
        <v>230.82814635567482</v>
      </c>
      <c r="Y66">
        <f t="shared" si="23"/>
        <v>231.94849351736877</v>
      </c>
      <c r="Z66">
        <f t="shared" si="23"/>
        <v>233.0132551330195</v>
      </c>
      <c r="AA66">
        <f t="shared" si="23"/>
        <v>234.0279067170126</v>
      </c>
      <c r="AB66">
        <f t="shared" si="23"/>
        <v>234.99714278917216</v>
      </c>
      <c r="AC66">
        <f t="shared" si="23"/>
        <v>235.92501953190671</v>
      </c>
      <c r="AD66">
        <f t="shared" si="23"/>
        <v>236.81506618662189</v>
      </c>
      <c r="AE66">
        <f t="shared" si="26"/>
        <v>237.67037308273285</v>
      </c>
    </row>
    <row r="67" spans="7:31" x14ac:dyDescent="0.25">
      <c r="G67" s="2">
        <v>64</v>
      </c>
      <c r="H67">
        <f t="shared" si="24"/>
        <v>73.613536100779669</v>
      </c>
      <c r="I67">
        <f t="shared" si="15"/>
        <v>110.86893745980721</v>
      </c>
      <c r="J67">
        <f t="shared" si="15"/>
        <v>140.87916088550699</v>
      </c>
      <c r="K67">
        <f t="shared" si="15"/>
        <v>166.97909032162977</v>
      </c>
      <c r="L67">
        <f t="shared" si="15"/>
        <v>190.50997164996215</v>
      </c>
      <c r="M67">
        <f t="shared" si="25"/>
        <v>212.17732097833516</v>
      </c>
      <c r="N67">
        <f t="shared" si="3"/>
        <v>214.96471562258316</v>
      </c>
      <c r="O67">
        <f t="shared" si="23"/>
        <v>217.40884815978052</v>
      </c>
      <c r="P67">
        <f t="shared" si="23"/>
        <v>219.58778228269671</v>
      </c>
      <c r="Q67">
        <f t="shared" si="23"/>
        <v>221.55540328789758</v>
      </c>
      <c r="R67">
        <f t="shared" si="23"/>
        <v>223.35051708448881</v>
      </c>
      <c r="S67">
        <f t="shared" si="23"/>
        <v>225.00202470233086</v>
      </c>
      <c r="T67">
        <f t="shared" si="23"/>
        <v>226.53204609397022</v>
      </c>
      <c r="U67">
        <f t="shared" si="23"/>
        <v>227.95789875950342</v>
      </c>
      <c r="V67">
        <f t="shared" si="23"/>
        <v>229.29340155871571</v>
      </c>
      <c r="W67">
        <f t="shared" si="23"/>
        <v>230.54976280498451</v>
      </c>
      <c r="X67">
        <f t="shared" si="23"/>
        <v>231.73620249123132</v>
      </c>
      <c r="Y67">
        <f t="shared" si="23"/>
        <v>232.86039896104754</v>
      </c>
      <c r="Z67">
        <f t="shared" si="23"/>
        <v>233.9288164120052</v>
      </c>
      <c r="AA67">
        <f t="shared" ref="O67:AD83" si="27">($M67*POWER($M$3,LN($M67/$AE67)/LN(4)))/POWER(AA$3,LN($M67/$AE67)/LN(4))</f>
        <v>234.94694953099389</v>
      </c>
      <c r="AB67">
        <f t="shared" si="27"/>
        <v>235.91950926524333</v>
      </c>
      <c r="AC67">
        <f t="shared" si="27"/>
        <v>236.85056598227973</v>
      </c>
      <c r="AD67">
        <f t="shared" si="27"/>
        <v>237.74366125873001</v>
      </c>
      <c r="AE67">
        <f t="shared" si="26"/>
        <v>238.60189621923627</v>
      </c>
    </row>
    <row r="68" spans="7:31" x14ac:dyDescent="0.25">
      <c r="G68" s="2">
        <v>65</v>
      </c>
      <c r="H68">
        <f t="shared" si="24"/>
        <v>73.790241823704463</v>
      </c>
      <c r="I68">
        <f t="shared" si="15"/>
        <v>111.1993828048049</v>
      </c>
      <c r="J68">
        <f t="shared" si="15"/>
        <v>141.34687533641704</v>
      </c>
      <c r="K68">
        <f t="shared" si="15"/>
        <v>167.57368495568875</v>
      </c>
      <c r="L68">
        <f t="shared" si="15"/>
        <v>191.2239663632171</v>
      </c>
      <c r="M68">
        <f t="shared" si="25"/>
        <v>213.00493006038798</v>
      </c>
      <c r="N68">
        <f t="shared" si="3"/>
        <v>215.80183467560602</v>
      </c>
      <c r="O68">
        <f t="shared" si="27"/>
        <v>218.25429160648625</v>
      </c>
      <c r="P68">
        <f t="shared" si="27"/>
        <v>220.44063564311361</v>
      </c>
      <c r="Q68">
        <f t="shared" si="27"/>
        <v>222.41493892844304</v>
      </c>
      <c r="R68">
        <f t="shared" si="27"/>
        <v>224.21614174918784</v>
      </c>
      <c r="S68">
        <f t="shared" si="27"/>
        <v>225.87324509311256</v>
      </c>
      <c r="T68">
        <f t="shared" si="27"/>
        <v>227.40844533355366</v>
      </c>
      <c r="U68">
        <f t="shared" si="27"/>
        <v>228.83911973965755</v>
      </c>
      <c r="V68">
        <f t="shared" si="27"/>
        <v>230.17913482101201</v>
      </c>
      <c r="W68">
        <f t="shared" si="27"/>
        <v>231.4397375059786</v>
      </c>
      <c r="X68">
        <f t="shared" si="27"/>
        <v>232.63017952681906</v>
      </c>
      <c r="Y68">
        <f t="shared" si="27"/>
        <v>233.75816563955743</v>
      </c>
      <c r="Z68">
        <f t="shared" si="27"/>
        <v>234.83018226198072</v>
      </c>
      <c r="AA68">
        <f t="shared" si="27"/>
        <v>235.85174295595536</v>
      </c>
      <c r="AB68">
        <f t="shared" si="27"/>
        <v>236.8275748411981</v>
      </c>
      <c r="AC68">
        <f t="shared" si="27"/>
        <v>237.76176225023721</v>
      </c>
      <c r="AD68">
        <f t="shared" si="27"/>
        <v>238.65785890351671</v>
      </c>
      <c r="AE68">
        <f t="shared" si="26"/>
        <v>239.51897655340289</v>
      </c>
    </row>
    <row r="69" spans="7:31" x14ac:dyDescent="0.25">
      <c r="G69" s="2">
        <v>66</v>
      </c>
      <c r="H69">
        <f t="shared" si="24"/>
        <v>73.964249643711454</v>
      </c>
      <c r="I69">
        <f t="shared" ref="I69:L103" si="28">$H69/POWER(I$3,(LN($H69)-LN($M69))/LN($M$3))</f>
        <v>111.5247257047272</v>
      </c>
      <c r="J69">
        <f t="shared" si="28"/>
        <v>141.80737601941453</v>
      </c>
      <c r="K69">
        <f t="shared" si="28"/>
        <v>168.15913773786409</v>
      </c>
      <c r="L69">
        <f t="shared" si="28"/>
        <v>191.92702201053197</v>
      </c>
      <c r="M69">
        <f t="shared" si="25"/>
        <v>213.81990339459793</v>
      </c>
      <c r="N69">
        <f t="shared" ref="N69:N103" si="29">($M69*POWER($M$3,LN($M69/$AE69)/LN(4)))/POWER(N$3,LN($M69/$AE69)/LN(4))</f>
        <v>216.62617271803367</v>
      </c>
      <c r="O69">
        <f t="shared" si="27"/>
        <v>219.08682690211131</v>
      </c>
      <c r="P69">
        <f t="shared" si="27"/>
        <v>221.28046768916946</v>
      </c>
      <c r="Q69">
        <f t="shared" si="27"/>
        <v>223.26135121189702</v>
      </c>
      <c r="R69">
        <f t="shared" si="27"/>
        <v>225.06855008028262</v>
      </c>
      <c r="S69">
        <f t="shared" si="27"/>
        <v>226.73116371195647</v>
      </c>
      <c r="T69">
        <f t="shared" si="27"/>
        <v>228.27146373288002</v>
      </c>
      <c r="U69">
        <f t="shared" si="27"/>
        <v>229.70688626766977</v>
      </c>
      <c r="V69">
        <f t="shared" si="27"/>
        <v>231.05134474741627</v>
      </c>
      <c r="W69">
        <f t="shared" si="27"/>
        <v>232.31612412528406</v>
      </c>
      <c r="X69">
        <f t="shared" si="27"/>
        <v>233.51050738780049</v>
      </c>
      <c r="Y69">
        <f t="shared" si="27"/>
        <v>234.64222529977499</v>
      </c>
      <c r="Z69">
        <f t="shared" si="27"/>
        <v>235.71778615964286</v>
      </c>
      <c r="AA69">
        <f t="shared" si="27"/>
        <v>236.74272211581274</v>
      </c>
      <c r="AB69">
        <f t="shared" si="27"/>
        <v>237.72177621335982</v>
      </c>
      <c r="AC69">
        <f t="shared" si="27"/>
        <v>238.65904653642491</v>
      </c>
      <c r="AD69">
        <f t="shared" si="27"/>
        <v>239.55809876371416</v>
      </c>
      <c r="AE69">
        <f t="shared" si="26"/>
        <v>240.42205511293284</v>
      </c>
    </row>
    <row r="70" spans="7:31" x14ac:dyDescent="0.25">
      <c r="G70" s="2">
        <v>67</v>
      </c>
      <c r="H70">
        <f t="shared" si="24"/>
        <v>74.135640705396071</v>
      </c>
      <c r="I70">
        <f t="shared" si="28"/>
        <v>111.84512100175118</v>
      </c>
      <c r="J70">
        <f t="shared" si="28"/>
        <v>142.26088162872011</v>
      </c>
      <c r="K70">
        <f t="shared" si="28"/>
        <v>168.73572512317756</v>
      </c>
      <c r="L70">
        <f t="shared" si="28"/>
        <v>192.61946848998809</v>
      </c>
      <c r="M70">
        <f t="shared" si="25"/>
        <v>214.62262102527274</v>
      </c>
      <c r="N70">
        <f t="shared" si="29"/>
        <v>217.43811416495444</v>
      </c>
      <c r="O70">
        <f t="shared" si="27"/>
        <v>219.90684228691617</v>
      </c>
      <c r="P70">
        <f t="shared" si="27"/>
        <v>222.10767006551447</v>
      </c>
      <c r="Q70">
        <f t="shared" si="27"/>
        <v>224.09503485253762</v>
      </c>
      <c r="R70">
        <f t="shared" si="27"/>
        <v>225.9081395887749</v>
      </c>
      <c r="S70">
        <f t="shared" si="27"/>
        <v>227.57618063969153</v>
      </c>
      <c r="T70">
        <f t="shared" si="27"/>
        <v>229.12150375087958</v>
      </c>
      <c r="U70">
        <f t="shared" si="27"/>
        <v>230.56160301635032</v>
      </c>
      <c r="V70">
        <f t="shared" si="27"/>
        <v>231.91043808232308</v>
      </c>
      <c r="W70">
        <f t="shared" si="27"/>
        <v>233.17933135435112</v>
      </c>
      <c r="X70">
        <f t="shared" si="27"/>
        <v>234.37759660275452</v>
      </c>
      <c r="Y70">
        <f t="shared" si="27"/>
        <v>235.51299020963162</v>
      </c>
      <c r="Z70">
        <f t="shared" si="27"/>
        <v>236.59204202472051</v>
      </c>
      <c r="AA70">
        <f t="shared" si="27"/>
        <v>237.62030250321916</v>
      </c>
      <c r="AB70">
        <f t="shared" si="27"/>
        <v>238.60253037587094</v>
      </c>
      <c r="AC70">
        <f t="shared" si="27"/>
        <v>239.54283727146259</v>
      </c>
      <c r="AD70">
        <f t="shared" si="27"/>
        <v>240.44480064699152</v>
      </c>
      <c r="AE70">
        <f t="shared" si="26"/>
        <v>241.31155302800494</v>
      </c>
    </row>
    <row r="71" spans="7:31" x14ac:dyDescent="0.25">
      <c r="G71" s="2">
        <v>68</v>
      </c>
      <c r="H71">
        <f t="shared" si="24"/>
        <v>74.304492546657357</v>
      </c>
      <c r="I71">
        <f t="shared" si="28"/>
        <v>112.16071660131662</v>
      </c>
      <c r="J71">
        <f t="shared" si="28"/>
        <v>142.70760107056037</v>
      </c>
      <c r="K71">
        <f t="shared" si="28"/>
        <v>169.30371122071247</v>
      </c>
      <c r="L71">
        <f t="shared" si="28"/>
        <v>193.30162100224615</v>
      </c>
      <c r="M71">
        <f t="shared" si="25"/>
        <v>215.41344610459777</v>
      </c>
      <c r="N71">
        <f t="shared" si="29"/>
        <v>218.23802634499123</v>
      </c>
      <c r="O71">
        <f t="shared" si="27"/>
        <v>220.71470874462671</v>
      </c>
      <c r="P71">
        <f t="shared" si="27"/>
        <v>222.92261700891382</v>
      </c>
      <c r="Q71">
        <f t="shared" si="27"/>
        <v>224.91636702029919</v>
      </c>
      <c r="R71">
        <f t="shared" si="27"/>
        <v>226.73529011700282</v>
      </c>
      <c r="S71">
        <f t="shared" si="27"/>
        <v>228.40867817425533</v>
      </c>
      <c r="T71">
        <f t="shared" si="27"/>
        <v>229.95894995789106</v>
      </c>
      <c r="U71">
        <f t="shared" si="27"/>
        <v>231.40365667152199</v>
      </c>
      <c r="V71">
        <f t="shared" si="27"/>
        <v>232.75680349107174</v>
      </c>
      <c r="W71">
        <f t="shared" si="27"/>
        <v>234.02974971904464</v>
      </c>
      <c r="X71">
        <f t="shared" si="27"/>
        <v>235.23183945303339</v>
      </c>
      <c r="Y71">
        <f t="shared" si="27"/>
        <v>236.37085431253857</v>
      </c>
      <c r="Z71">
        <f t="shared" si="27"/>
        <v>237.45334537902235</v>
      </c>
      <c r="AA71">
        <f t="shared" si="27"/>
        <v>238.48488114301472</v>
      </c>
      <c r="AB71">
        <f t="shared" si="27"/>
        <v>239.4702357883445</v>
      </c>
      <c r="AC71">
        <f t="shared" si="27"/>
        <v>240.41353428761448</v>
      </c>
      <c r="AD71">
        <f t="shared" si="27"/>
        <v>241.31836570147931</v>
      </c>
      <c r="AE71">
        <f t="shared" si="26"/>
        <v>242.18787271050022</v>
      </c>
    </row>
    <row r="72" spans="7:31" x14ac:dyDescent="0.25">
      <c r="G72" s="2">
        <v>69</v>
      </c>
      <c r="H72">
        <f t="shared" si="24"/>
        <v>74.470879309327216</v>
      </c>
      <c r="I72">
        <f t="shared" si="28"/>
        <v>112.47165388017129</v>
      </c>
      <c r="J72">
        <f t="shared" si="28"/>
        <v>143.1477340384109</v>
      </c>
      <c r="K72">
        <f t="shared" si="28"/>
        <v>169.86334851771645</v>
      </c>
      <c r="L72">
        <f t="shared" si="28"/>
        <v>193.97378091068563</v>
      </c>
      <c r="M72">
        <f t="shared" si="25"/>
        <v>216.19272587912747</v>
      </c>
      <c r="N72">
        <f t="shared" si="29"/>
        <v>219.02626049814603</v>
      </c>
      <c r="O72">
        <f t="shared" si="27"/>
        <v>221.51078101021292</v>
      </c>
      <c r="P72">
        <f t="shared" si="27"/>
        <v>223.72566636486724</v>
      </c>
      <c r="Q72">
        <f t="shared" si="27"/>
        <v>225.72570836536204</v>
      </c>
      <c r="R72">
        <f t="shared" si="27"/>
        <v>227.55036487049185</v>
      </c>
      <c r="S72">
        <f t="shared" si="27"/>
        <v>229.22902186921655</v>
      </c>
      <c r="T72">
        <f t="shared" si="27"/>
        <v>230.7841700803572</v>
      </c>
      <c r="U72">
        <f t="shared" si="27"/>
        <v>232.23341698246071</v>
      </c>
      <c r="V72">
        <f t="shared" si="27"/>
        <v>233.59081261576307</v>
      </c>
      <c r="W72">
        <f t="shared" si="27"/>
        <v>234.86775264051386</v>
      </c>
      <c r="X72">
        <f t="shared" si="27"/>
        <v>236.07361103839924</v>
      </c>
      <c r="Y72">
        <f t="shared" si="27"/>
        <v>237.21619429753665</v>
      </c>
      <c r="Z72">
        <f t="shared" si="27"/>
        <v>238.302074420872</v>
      </c>
      <c r="AA72">
        <f t="shared" si="27"/>
        <v>239.33683767074203</v>
      </c>
      <c r="AB72">
        <f t="shared" si="27"/>
        <v>240.32527345827452</v>
      </c>
      <c r="AC72">
        <f t="shared" si="27"/>
        <v>241.27151990492635</v>
      </c>
      <c r="AD72">
        <f t="shared" si="27"/>
        <v>242.17917750547764</v>
      </c>
      <c r="AE72">
        <f t="shared" si="26"/>
        <v>243.05139894714122</v>
      </c>
    </row>
    <row r="73" spans="7:31" x14ac:dyDescent="0.25">
      <c r="G73" s="2">
        <v>70</v>
      </c>
      <c r="H73">
        <f t="shared" si="24"/>
        <v>74.634871934644906</v>
      </c>
      <c r="I73">
        <f t="shared" si="28"/>
        <v>112.77806806485764</v>
      </c>
      <c r="J73">
        <f t="shared" si="28"/>
        <v>143.58147154660591</v>
      </c>
      <c r="K73">
        <f t="shared" si="28"/>
        <v>170.41487855139809</v>
      </c>
      <c r="L73">
        <f t="shared" si="28"/>
        <v>194.63623653953928</v>
      </c>
      <c r="M73">
        <f t="shared" si="25"/>
        <v>216.96079260529896</v>
      </c>
      <c r="N73">
        <f t="shared" si="29"/>
        <v>219.80315270185062</v>
      </c>
      <c r="O73">
        <f t="shared" si="27"/>
        <v>222.29539850515971</v>
      </c>
      <c r="P73">
        <f t="shared" si="27"/>
        <v>224.51716053108404</v>
      </c>
      <c r="Q73">
        <f t="shared" si="27"/>
        <v>226.52340396902429</v>
      </c>
      <c r="R73">
        <f t="shared" si="27"/>
        <v>228.3537113755647</v>
      </c>
      <c r="S73">
        <f t="shared" si="27"/>
        <v>230.03756149757578</v>
      </c>
      <c r="T73">
        <f t="shared" si="27"/>
        <v>231.59751597035364</v>
      </c>
      <c r="U73">
        <f t="shared" si="27"/>
        <v>233.05123773675803</v>
      </c>
      <c r="V73">
        <f t="shared" si="27"/>
        <v>234.41282105511107</v>
      </c>
      <c r="W73">
        <f t="shared" si="27"/>
        <v>235.69369741973304</v>
      </c>
      <c r="X73">
        <f t="shared" si="27"/>
        <v>236.90327026598885</v>
      </c>
      <c r="Y73">
        <f t="shared" si="27"/>
        <v>238.04937059244921</v>
      </c>
      <c r="Z73">
        <f t="shared" si="27"/>
        <v>239.13859102223816</v>
      </c>
      <c r="AA73">
        <f t="shared" si="27"/>
        <v>240.17653533356389</v>
      </c>
      <c r="AB73">
        <f t="shared" si="27"/>
        <v>241.16800794556829</v>
      </c>
      <c r="AC73">
        <f t="shared" si="27"/>
        <v>242.11715993921547</v>
      </c>
      <c r="AD73">
        <f t="shared" si="27"/>
        <v>243.02760307876119</v>
      </c>
      <c r="AE73">
        <f t="shared" si="26"/>
        <v>243.90249991397991</v>
      </c>
    </row>
    <row r="74" spans="7:31" x14ac:dyDescent="0.25">
      <c r="G74" s="2">
        <v>71</v>
      </c>
      <c r="H74">
        <f t="shared" si="24"/>
        <v>74.796538344866661</v>
      </c>
      <c r="I74">
        <f t="shared" si="28"/>
        <v>113.08008858317113</v>
      </c>
      <c r="J74">
        <f t="shared" si="28"/>
        <v>144.00899642587527</v>
      </c>
      <c r="K74">
        <f t="shared" si="28"/>
        <v>170.9585325328818</v>
      </c>
      <c r="L74">
        <f t="shared" si="28"/>
        <v>195.28926391530231</v>
      </c>
      <c r="M74">
        <f t="shared" si="25"/>
        <v>217.71796440000841</v>
      </c>
      <c r="N74">
        <f t="shared" si="29"/>
        <v>220.56902473133121</v>
      </c>
      <c r="O74">
        <f t="shared" si="27"/>
        <v>223.06888620639717</v>
      </c>
      <c r="P74">
        <f t="shared" si="27"/>
        <v>225.29742733403594</v>
      </c>
      <c r="Q74">
        <f t="shared" si="27"/>
        <v>227.30978422712653</v>
      </c>
      <c r="R74">
        <f t="shared" si="27"/>
        <v>229.14566236902672</v>
      </c>
      <c r="S74">
        <f t="shared" si="27"/>
        <v>230.83463194720258</v>
      </c>
      <c r="T74">
        <f t="shared" si="27"/>
        <v>232.39932450634899</v>
      </c>
      <c r="U74">
        <f t="shared" si="27"/>
        <v>233.85745766603495</v>
      </c>
      <c r="V74">
        <f t="shared" si="27"/>
        <v>235.22316927479247</v>
      </c>
      <c r="W74">
        <f t="shared" si="27"/>
        <v>236.50792615220738</v>
      </c>
      <c r="X74">
        <f t="shared" si="27"/>
        <v>237.72116076913008</v>
      </c>
      <c r="Y74">
        <f t="shared" si="27"/>
        <v>238.87072828658964</v>
      </c>
      <c r="Z74">
        <f t="shared" si="27"/>
        <v>239.96324165513749</v>
      </c>
      <c r="AA74">
        <f t="shared" si="27"/>
        <v>241.00432192018397</v>
      </c>
      <c r="AB74">
        <f t="shared" si="27"/>
        <v>241.99878829582627</v>
      </c>
      <c r="AC74">
        <f t="shared" si="27"/>
        <v>242.95080463856377</v>
      </c>
      <c r="AD74">
        <f t="shared" si="27"/>
        <v>243.86399382215231</v>
      </c>
      <c r="AE74">
        <f t="shared" si="26"/>
        <v>244.74152811892824</v>
      </c>
    </row>
    <row r="75" spans="7:31" x14ac:dyDescent="0.25">
      <c r="G75" s="2">
        <v>72</v>
      </c>
      <c r="H75">
        <f t="shared" si="24"/>
        <v>74.95594361217394</v>
      </c>
      <c r="I75">
        <f t="shared" si="28"/>
        <v>113.37783939087419</v>
      </c>
      <c r="J75">
        <f t="shared" si="28"/>
        <v>144.43048378402412</v>
      </c>
      <c r="K75">
        <f t="shared" si="28"/>
        <v>171.49453192735339</v>
      </c>
      <c r="L75">
        <f t="shared" si="28"/>
        <v>195.93312745619059</v>
      </c>
      <c r="M75">
        <f t="shared" si="25"/>
        <v>218.46454603170073</v>
      </c>
      <c r="N75">
        <f t="shared" si="29"/>
        <v>221.32418485980253</v>
      </c>
      <c r="O75">
        <f t="shared" si="27"/>
        <v>223.83155545446087</v>
      </c>
      <c r="P75">
        <f t="shared" si="27"/>
        <v>226.06678084420614</v>
      </c>
      <c r="Q75">
        <f t="shared" si="27"/>
        <v>228.08516567169264</v>
      </c>
      <c r="R75">
        <f t="shared" si="27"/>
        <v>229.92653662562876</v>
      </c>
      <c r="S75">
        <f t="shared" si="27"/>
        <v>231.62055405364868</v>
      </c>
      <c r="T75">
        <f t="shared" si="27"/>
        <v>233.18991843096754</v>
      </c>
      <c r="U75">
        <f t="shared" si="27"/>
        <v>234.65240128831238</v>
      </c>
      <c r="V75">
        <f t="shared" si="27"/>
        <v>236.02218345412857</v>
      </c>
      <c r="W75">
        <f t="shared" si="27"/>
        <v>237.31076657870739</v>
      </c>
      <c r="X75">
        <f t="shared" si="27"/>
        <v>238.52761176189867</v>
      </c>
      <c r="Y75">
        <f t="shared" si="27"/>
        <v>239.68059798893751</v>
      </c>
      <c r="Z75">
        <f t="shared" si="27"/>
        <v>240.77635825324759</v>
      </c>
      <c r="AA75">
        <f t="shared" si="27"/>
        <v>241.82053062573283</v>
      </c>
      <c r="AB75">
        <f t="shared" si="27"/>
        <v>242.81794890835107</v>
      </c>
      <c r="AC75">
        <f t="shared" si="27"/>
        <v>243.77278955431473</v>
      </c>
      <c r="AD75">
        <f t="shared" si="27"/>
        <v>244.68868639138236</v>
      </c>
      <c r="AE75">
        <f t="shared" si="26"/>
        <v>245.56882127837108</v>
      </c>
    </row>
    <row r="76" spans="7:31" x14ac:dyDescent="0.25">
      <c r="G76" s="2">
        <v>73</v>
      </c>
      <c r="H76">
        <f t="shared" si="24"/>
        <v>75.113150115931802</v>
      </c>
      <c r="I76">
        <f t="shared" si="28"/>
        <v>113.67143927572712</v>
      </c>
      <c r="J76">
        <f t="shared" si="28"/>
        <v>144.84610143465503</v>
      </c>
      <c r="K76">
        <f t="shared" si="28"/>
        <v>172.02308899403599</v>
      </c>
      <c r="L76">
        <f t="shared" si="28"/>
        <v>196.56808061395395</v>
      </c>
      <c r="M76">
        <f t="shared" si="25"/>
        <v>219.20082965689579</v>
      </c>
      <c r="N76">
        <f t="shared" si="29"/>
        <v>222.06892860346954</v>
      </c>
      <c r="O76">
        <f t="shared" si="27"/>
        <v>224.58370470591032</v>
      </c>
      <c r="P76">
        <f t="shared" si="27"/>
        <v>226.82552213510854</v>
      </c>
      <c r="Q76">
        <f t="shared" si="27"/>
        <v>228.84985173589928</v>
      </c>
      <c r="R76">
        <f t="shared" si="27"/>
        <v>230.69663972845814</v>
      </c>
      <c r="S76">
        <f t="shared" si="27"/>
        <v>232.39563537551874</v>
      </c>
      <c r="T76">
        <f t="shared" si="27"/>
        <v>233.9696071309688</v>
      </c>
      <c r="U76">
        <f t="shared" si="27"/>
        <v>235.43637969228135</v>
      </c>
      <c r="V76">
        <f t="shared" si="27"/>
        <v>236.81017627436947</v>
      </c>
      <c r="W76">
        <f t="shared" si="27"/>
        <v>238.10253287732479</v>
      </c>
      <c r="X76">
        <f t="shared" si="27"/>
        <v>239.32293883473397</v>
      </c>
      <c r="Y76">
        <f t="shared" si="27"/>
        <v>240.47929662712406</v>
      </c>
      <c r="Z76">
        <f t="shared" si="27"/>
        <v>241.57825901409186</v>
      </c>
      <c r="AA76">
        <f t="shared" si="27"/>
        <v>242.62548085699947</v>
      </c>
      <c r="AB76">
        <f t="shared" si="27"/>
        <v>243.6258103442876</v>
      </c>
      <c r="AC76">
        <f t="shared" si="27"/>
        <v>244.58343635199637</v>
      </c>
      <c r="AD76">
        <f t="shared" si="27"/>
        <v>245.50200351068165</v>
      </c>
      <c r="AE76">
        <f t="shared" si="26"/>
        <v>246.38470313331698</v>
      </c>
    </row>
    <row r="77" spans="7:31" x14ac:dyDescent="0.25">
      <c r="G77" s="2">
        <v>74</v>
      </c>
      <c r="H77">
        <f t="shared" si="24"/>
        <v>75.268217689248388</v>
      </c>
      <c r="I77">
        <f t="shared" si="28"/>
        <v>113.96100214069915</v>
      </c>
      <c r="J77">
        <f t="shared" si="28"/>
        <v>145.25601029655704</v>
      </c>
      <c r="K77">
        <f t="shared" si="28"/>
        <v>172.54440728928762</v>
      </c>
      <c r="L77">
        <f t="shared" si="28"/>
        <v>197.1943664719422</v>
      </c>
      <c r="M77">
        <f t="shared" si="25"/>
        <v>219.92709550660635</v>
      </c>
      <c r="N77">
        <f t="shared" si="29"/>
        <v>222.80353941584465</v>
      </c>
      <c r="O77">
        <f t="shared" si="27"/>
        <v>225.3256202345587</v>
      </c>
      <c r="P77">
        <f t="shared" si="27"/>
        <v>227.57393999066784</v>
      </c>
      <c r="Q77">
        <f t="shared" si="27"/>
        <v>229.60413346700128</v>
      </c>
      <c r="R77">
        <f t="shared" si="27"/>
        <v>231.45626478691571</v>
      </c>
      <c r="S77">
        <f t="shared" si="27"/>
        <v>233.16017091708983</v>
      </c>
      <c r="T77">
        <f t="shared" si="27"/>
        <v>234.73868736416259</v>
      </c>
      <c r="U77">
        <f t="shared" si="27"/>
        <v>236.20969126821586</v>
      </c>
      <c r="V77">
        <f t="shared" si="27"/>
        <v>237.58744765334771</v>
      </c>
      <c r="W77">
        <f t="shared" si="27"/>
        <v>238.88352640164263</v>
      </c>
      <c r="X77">
        <f t="shared" si="27"/>
        <v>240.10744469592549</v>
      </c>
      <c r="Y77">
        <f t="shared" si="27"/>
        <v>241.26712819205926</v>
      </c>
      <c r="Z77">
        <f t="shared" si="27"/>
        <v>242.36924914664922</v>
      </c>
      <c r="AA77">
        <f t="shared" si="27"/>
        <v>243.41947898288049</v>
      </c>
      <c r="AB77">
        <f t="shared" si="27"/>
        <v>244.42268007978305</v>
      </c>
      <c r="AC77">
        <f t="shared" si="27"/>
        <v>245.38305356707349</v>
      </c>
      <c r="AD77">
        <f t="shared" si="27"/>
        <v>246.30425473101755</v>
      </c>
      <c r="AE77">
        <f t="shared" si="26"/>
        <v>247.18948421002324</v>
      </c>
    </row>
    <row r="78" spans="7:31" x14ac:dyDescent="0.25">
      <c r="G78" s="2">
        <v>75</v>
      </c>
      <c r="H78">
        <f t="shared" si="24"/>
        <v>75.421203755697121</v>
      </c>
      <c r="I78">
        <f t="shared" si="28"/>
        <v>114.24663726804675</v>
      </c>
      <c r="J78">
        <f t="shared" si="28"/>
        <v>145.66036476613519</v>
      </c>
      <c r="K78">
        <f t="shared" si="28"/>
        <v>173.05868213580075</v>
      </c>
      <c r="L78">
        <f t="shared" si="28"/>
        <v>197.81221830295203</v>
      </c>
      <c r="M78">
        <f t="shared" si="25"/>
        <v>220.64361252668274</v>
      </c>
      <c r="N78">
        <f t="shared" si="29"/>
        <v>223.52828933546107</v>
      </c>
      <c r="O78">
        <f t="shared" si="27"/>
        <v>226.05757678563361</v>
      </c>
      <c r="P78">
        <f t="shared" si="27"/>
        <v>228.31231156511873</v>
      </c>
      <c r="Q78">
        <f t="shared" si="27"/>
        <v>230.34829019140463</v>
      </c>
      <c r="R78">
        <f t="shared" si="27"/>
        <v>232.20569310650208</v>
      </c>
      <c r="S78">
        <f t="shared" si="27"/>
        <v>233.91444380242754</v>
      </c>
      <c r="T78">
        <f t="shared" si="27"/>
        <v>235.49744393753124</v>
      </c>
      <c r="U78">
        <f t="shared" si="27"/>
        <v>236.97262238982503</v>
      </c>
      <c r="V78">
        <f t="shared" si="27"/>
        <v>238.35428543082077</v>
      </c>
      <c r="W78">
        <f t="shared" si="27"/>
        <v>239.65403636935741</v>
      </c>
      <c r="X78">
        <f t="shared" si="27"/>
        <v>240.88141986333051</v>
      </c>
      <c r="Y78">
        <f t="shared" si="27"/>
        <v>242.04438443257851</v>
      </c>
      <c r="Z78">
        <f t="shared" si="27"/>
        <v>243.14962156878244</v>
      </c>
      <c r="AA78">
        <f t="shared" si="27"/>
        <v>244.20281903445806</v>
      </c>
      <c r="AB78">
        <f t="shared" si="27"/>
        <v>245.20885320859273</v>
      </c>
      <c r="AC78">
        <f t="shared" si="27"/>
        <v>246.17193730997334</v>
      </c>
      <c r="AD78">
        <f t="shared" si="27"/>
        <v>247.09573713743865</v>
      </c>
      <c r="AE78">
        <f t="shared" si="26"/>
        <v>247.98346252956736</v>
      </c>
    </row>
    <row r="79" spans="7:31" x14ac:dyDescent="0.25">
      <c r="G79" s="2">
        <v>76</v>
      </c>
      <c r="H79">
        <f t="shared" si="24"/>
        <v>75.572163456984001</v>
      </c>
      <c r="I79">
        <f t="shared" si="28"/>
        <v>114.52844956579032</v>
      </c>
      <c r="J79">
        <f t="shared" si="28"/>
        <v>146.05931306503697</v>
      </c>
      <c r="K79">
        <f t="shared" si="28"/>
        <v>173.56610106060941</v>
      </c>
      <c r="L79">
        <f t="shared" si="28"/>
        <v>198.4218600900592</v>
      </c>
      <c r="M79">
        <f t="shared" si="25"/>
        <v>221.35063897574784</v>
      </c>
      <c r="N79">
        <f t="shared" si="29"/>
        <v>224.24343959068773</v>
      </c>
      <c r="O79">
        <f t="shared" si="27"/>
        <v>226.77983818661346</v>
      </c>
      <c r="P79">
        <f t="shared" si="27"/>
        <v>229.04090299920017</v>
      </c>
      <c r="Q79">
        <f t="shared" si="27"/>
        <v>231.08259013569113</v>
      </c>
      <c r="R79">
        <f t="shared" si="27"/>
        <v>232.9451948142424</v>
      </c>
      <c r="S79">
        <f t="shared" si="27"/>
        <v>234.65872590485461</v>
      </c>
      <c r="T79">
        <f t="shared" si="27"/>
        <v>236.24615034044032</v>
      </c>
      <c r="U79">
        <f t="shared" si="27"/>
        <v>237.72544805094677</v>
      </c>
      <c r="V79">
        <f t="shared" si="27"/>
        <v>239.11096600842299</v>
      </c>
      <c r="W79">
        <f t="shared" si="27"/>
        <v>240.41434050529384</v>
      </c>
      <c r="X79">
        <f t="shared" si="27"/>
        <v>241.64514331027749</v>
      </c>
      <c r="Y79">
        <f t="shared" si="27"/>
        <v>242.81134550408231</v>
      </c>
      <c r="Z79">
        <f t="shared" si="27"/>
        <v>243.91965755847619</v>
      </c>
      <c r="AA79">
        <f t="shared" si="27"/>
        <v>244.97578335871074</v>
      </c>
      <c r="AB79">
        <f t="shared" si="27"/>
        <v>245.98461309815303</v>
      </c>
      <c r="AC79">
        <f t="shared" si="27"/>
        <v>246.95037192441691</v>
      </c>
      <c r="AD79">
        <f t="shared" si="27"/>
        <v>247.87673600957154</v>
      </c>
      <c r="AE79">
        <f t="shared" si="26"/>
        <v>248.76692427042329</v>
      </c>
    </row>
    <row r="80" spans="7:31" x14ac:dyDescent="0.25">
      <c r="G80" s="2">
        <v>77</v>
      </c>
      <c r="H80">
        <f t="shared" si="24"/>
        <v>75.721149772269399</v>
      </c>
      <c r="I80">
        <f t="shared" si="28"/>
        <v>114.80653979797717</v>
      </c>
      <c r="J80">
        <f t="shared" si="28"/>
        <v>146.45299756493023</v>
      </c>
      <c r="K80">
        <f t="shared" si="28"/>
        <v>174.06684420435852</v>
      </c>
      <c r="L80">
        <f t="shared" si="28"/>
        <v>199.02350701334413</v>
      </c>
      <c r="M80">
        <f t="shared" si="25"/>
        <v>222.04842298404654</v>
      </c>
      <c r="N80">
        <f t="shared" si="29"/>
        <v>224.94924116501025</v>
      </c>
      <c r="O80">
        <f t="shared" si="27"/>
        <v>227.49265791813505</v>
      </c>
      <c r="P80">
        <f t="shared" si="27"/>
        <v>229.75996999607042</v>
      </c>
      <c r="Q80">
        <f t="shared" si="27"/>
        <v>231.80729100704829</v>
      </c>
      <c r="R80">
        <f t="shared" si="27"/>
        <v>233.67502944323041</v>
      </c>
      <c r="S80">
        <f t="shared" si="27"/>
        <v>235.39327843527332</v>
      </c>
      <c r="T80">
        <f t="shared" si="27"/>
        <v>236.98506933645754</v>
      </c>
      <c r="U80">
        <f t="shared" si="27"/>
        <v>238.46843246062193</v>
      </c>
      <c r="V80">
        <f t="shared" si="27"/>
        <v>239.85775494778605</v>
      </c>
      <c r="W80">
        <f t="shared" si="27"/>
        <v>241.16470564238756</v>
      </c>
      <c r="X80">
        <f t="shared" si="27"/>
        <v>242.3988830692503</v>
      </c>
      <c r="Y80">
        <f t="shared" si="27"/>
        <v>243.56828057477719</v>
      </c>
      <c r="Z80">
        <f t="shared" si="27"/>
        <v>244.67962736250541</v>
      </c>
      <c r="AA80">
        <f t="shared" si="27"/>
        <v>245.73864322949473</v>
      </c>
      <c r="AB80">
        <f t="shared" si="27"/>
        <v>246.75023200276885</v>
      </c>
      <c r="AC80">
        <f t="shared" si="27"/>
        <v>247.71863060271761</v>
      </c>
      <c r="AD80">
        <f t="shared" si="27"/>
        <v>248.64752543894363</v>
      </c>
      <c r="AE80">
        <f t="shared" si="26"/>
        <v>249.54014438772725</v>
      </c>
    </row>
    <row r="81" spans="7:31" x14ac:dyDescent="0.25">
      <c r="G81" s="2">
        <v>78</v>
      </c>
      <c r="H81">
        <f t="shared" si="24"/>
        <v>75.868213629791427</v>
      </c>
      <c r="I81">
        <f t="shared" si="28"/>
        <v>115.08100479999449</v>
      </c>
      <c r="J81">
        <f t="shared" si="28"/>
        <v>146.84155509121089</v>
      </c>
      <c r="K81">
        <f t="shared" si="28"/>
        <v>174.56108470406812</v>
      </c>
      <c r="L81">
        <f t="shared" si="28"/>
        <v>199.61736590515477</v>
      </c>
      <c r="M81">
        <f t="shared" si="25"/>
        <v>222.73720307623836</v>
      </c>
      <c r="N81">
        <f t="shared" si="29"/>
        <v>225.64593532583837</v>
      </c>
      <c r="O81">
        <f t="shared" si="27"/>
        <v>228.19627964806531</v>
      </c>
      <c r="P81">
        <f t="shared" si="27"/>
        <v>230.46975836006371</v>
      </c>
      <c r="Q81">
        <f t="shared" si="27"/>
        <v>232.52264053624936</v>
      </c>
      <c r="R81">
        <f t="shared" si="27"/>
        <v>234.39544647945516</v>
      </c>
      <c r="S81">
        <f t="shared" si="27"/>
        <v>236.1183524925284</v>
      </c>
      <c r="T81">
        <f t="shared" si="27"/>
        <v>237.71445351698716</v>
      </c>
      <c r="U81">
        <f t="shared" si="27"/>
        <v>239.20182959977373</v>
      </c>
      <c r="V81">
        <f t="shared" si="27"/>
        <v>240.59490753006708</v>
      </c>
      <c r="W81">
        <f t="shared" si="27"/>
        <v>241.90538828389163</v>
      </c>
      <c r="X81">
        <f t="shared" si="27"/>
        <v>243.14289679662082</v>
      </c>
      <c r="Y81">
        <f t="shared" si="27"/>
        <v>244.31544839280019</v>
      </c>
      <c r="Z81">
        <f t="shared" si="27"/>
        <v>245.42979076583171</v>
      </c>
      <c r="AA81">
        <f t="shared" si="27"/>
        <v>246.49165941910246</v>
      </c>
      <c r="AB81">
        <f t="shared" si="27"/>
        <v>247.50597163723714</v>
      </c>
      <c r="AC81">
        <f t="shared" si="27"/>
        <v>248.4769759613803</v>
      </c>
      <c r="AD81">
        <f t="shared" si="27"/>
        <v>249.40836890647489</v>
      </c>
      <c r="AE81">
        <f t="shared" si="26"/>
        <v>250.30338719258845</v>
      </c>
    </row>
    <row r="82" spans="7:31" x14ac:dyDescent="0.25">
      <c r="G82" s="2">
        <v>79</v>
      </c>
      <c r="H82">
        <f t="shared" si="24"/>
        <v>76.013404011378782</v>
      </c>
      <c r="I82">
        <f t="shared" si="28"/>
        <v>115.35193768008185</v>
      </c>
      <c r="J82">
        <f t="shared" si="28"/>
        <v>147.22511720725993</v>
      </c>
      <c r="K82">
        <f t="shared" si="28"/>
        <v>175.0489890514263</v>
      </c>
      <c r="L82">
        <f t="shared" si="28"/>
        <v>200.20363567631765</v>
      </c>
      <c r="M82">
        <f t="shared" si="25"/>
        <v>223.41720866088798</v>
      </c>
      <c r="N82">
        <f t="shared" si="29"/>
        <v>226.33375411962876</v>
      </c>
      <c r="O82">
        <f t="shared" si="27"/>
        <v>228.89093773155301</v>
      </c>
      <c r="P82">
        <f t="shared" si="27"/>
        <v>231.1705045011276</v>
      </c>
      <c r="Q82">
        <f t="shared" si="27"/>
        <v>233.22887698604535</v>
      </c>
      <c r="R82">
        <f t="shared" si="27"/>
        <v>235.10668587379621</v>
      </c>
      <c r="S82">
        <f t="shared" si="27"/>
        <v>236.83418957871152</v>
      </c>
      <c r="T82">
        <f t="shared" si="27"/>
        <v>238.43454581963732</v>
      </c>
      <c r="U82">
        <f t="shared" si="27"/>
        <v>239.92588374242646</v>
      </c>
      <c r="V82">
        <f t="shared" si="27"/>
        <v>241.32266927983579</v>
      </c>
      <c r="W82">
        <f t="shared" si="27"/>
        <v>242.63663512977047</v>
      </c>
      <c r="X82">
        <f t="shared" si="27"/>
        <v>243.87743230140859</v>
      </c>
      <c r="Y82">
        <f t="shared" si="27"/>
        <v>245.05309781721823</v>
      </c>
      <c r="Z82">
        <f t="shared" si="27"/>
        <v>246.17039762472911</v>
      </c>
      <c r="AA82">
        <f t="shared" si="27"/>
        <v>247.235082733414</v>
      </c>
      <c r="AB82">
        <f t="shared" si="27"/>
        <v>248.25208371393128</v>
      </c>
      <c r="AC82">
        <f t="shared" si="27"/>
        <v>249.2256605800346</v>
      </c>
      <c r="AD82">
        <f t="shared" si="27"/>
        <v>250.15951982318427</v>
      </c>
      <c r="AE82">
        <f t="shared" si="26"/>
        <v>251.0569068944975</v>
      </c>
    </row>
    <row r="83" spans="7:31" x14ac:dyDescent="0.25">
      <c r="G83" s="2">
        <v>80</v>
      </c>
      <c r="H83">
        <f t="shared" si="24"/>
        <v>76.156768050389829</v>
      </c>
      <c r="I83">
        <f t="shared" si="28"/>
        <v>115.61942800809065</v>
      </c>
      <c r="J83">
        <f t="shared" si="28"/>
        <v>147.60381048072529</v>
      </c>
      <c r="K83">
        <f t="shared" si="28"/>
        <v>175.53071742846413</v>
      </c>
      <c r="L83">
        <f t="shared" si="28"/>
        <v>200.78250771549295</v>
      </c>
      <c r="M83">
        <f t="shared" si="25"/>
        <v>224.08866048916755</v>
      </c>
      <c r="N83">
        <f t="shared" si="29"/>
        <v>227.01292083586583</v>
      </c>
      <c r="O83">
        <f t="shared" si="27"/>
        <v>229.57685767962741</v>
      </c>
      <c r="P83">
        <f t="shared" si="27"/>
        <v>231.86243590753188</v>
      </c>
      <c r="Q83">
        <f t="shared" si="27"/>
        <v>233.92622962757949</v>
      </c>
      <c r="R83">
        <f t="shared" si="27"/>
        <v>235.80897852181377</v>
      </c>
      <c r="S83">
        <f t="shared" si="27"/>
        <v>237.54102208205364</v>
      </c>
      <c r="T83">
        <f t="shared" si="27"/>
        <v>239.14558001398274</v>
      </c>
      <c r="U83">
        <f t="shared" si="27"/>
        <v>240.64082994414005</v>
      </c>
      <c r="V83">
        <f t="shared" si="27"/>
        <v>242.04127645600855</v>
      </c>
      <c r="W83">
        <f t="shared" si="27"/>
        <v>243.35868356998381</v>
      </c>
      <c r="X83">
        <f t="shared" si="27"/>
        <v>244.60272804078176</v>
      </c>
      <c r="Y83">
        <f t="shared" si="27"/>
        <v>245.78146831562765</v>
      </c>
      <c r="Z83">
        <f t="shared" ref="O83:AD99" si="30">($M83*POWER($M$3,LN($M83/$AE83)/LN(4)))/POWER(Z$3,LN($M83/$AE83)/LN(4))</f>
        <v>246.90168836637699</v>
      </c>
      <c r="AA83">
        <f t="shared" si="30"/>
        <v>247.96915451338748</v>
      </c>
      <c r="AB83">
        <f t="shared" si="30"/>
        <v>248.98881044610289</v>
      </c>
      <c r="AC83">
        <f t="shared" si="30"/>
        <v>249.96492750646976</v>
      </c>
      <c r="AD83">
        <f t="shared" si="30"/>
        <v>250.90122203688586</v>
      </c>
      <c r="AE83">
        <f t="shared" si="26"/>
        <v>251.8009481096181</v>
      </c>
    </row>
    <row r="84" spans="7:31" x14ac:dyDescent="0.25">
      <c r="G84" s="2">
        <v>81</v>
      </c>
      <c r="H84">
        <f t="shared" si="24"/>
        <v>76.29835112356821</v>
      </c>
      <c r="I84">
        <f t="shared" si="28"/>
        <v>115.88356199244741</v>
      </c>
      <c r="J84">
        <f t="shared" si="28"/>
        <v>147.97775673317528</v>
      </c>
      <c r="K84">
        <f t="shared" si="28"/>
        <v>176.00642402230429</v>
      </c>
      <c r="L84">
        <f t="shared" si="28"/>
        <v>201.35416626367922</v>
      </c>
      <c r="M84">
        <f t="shared" si="25"/>
        <v>224.75177108506631</v>
      </c>
      <c r="N84">
        <f t="shared" si="29"/>
        <v>227.68365044222034</v>
      </c>
      <c r="O84">
        <f t="shared" si="30"/>
        <v>230.2542565986893</v>
      </c>
      <c r="P84">
        <f t="shared" si="30"/>
        <v>232.54577158921444</v>
      </c>
      <c r="Q84">
        <f t="shared" si="30"/>
        <v>234.61491918720847</v>
      </c>
      <c r="R84">
        <f t="shared" si="30"/>
        <v>236.50254671373631</v>
      </c>
      <c r="S84">
        <f t="shared" si="30"/>
        <v>238.23907372982188</v>
      </c>
      <c r="T84">
        <f t="shared" si="30"/>
        <v>239.84778115715318</v>
      </c>
      <c r="U84">
        <f t="shared" si="30"/>
        <v>241.34689450010441</v>
      </c>
      <c r="V84">
        <f t="shared" si="30"/>
        <v>242.75095651228776</v>
      </c>
      <c r="W84">
        <f t="shared" si="30"/>
        <v>244.07176214712973</v>
      </c>
      <c r="X84">
        <f t="shared" si="30"/>
        <v>245.3190135847791</v>
      </c>
      <c r="Y84">
        <f t="shared" si="30"/>
        <v>246.50079043084497</v>
      </c>
      <c r="Z84">
        <f t="shared" si="30"/>
        <v>247.62389445741988</v>
      </c>
      <c r="AA84">
        <f t="shared" si="30"/>
        <v>248.69410710539881</v>
      </c>
      <c r="AB84">
        <f t="shared" si="30"/>
        <v>249.71638501992075</v>
      </c>
      <c r="AC84">
        <f t="shared" si="30"/>
        <v>250.69501073029929</v>
      </c>
      <c r="AD84">
        <f t="shared" si="30"/>
        <v>251.63371030741135</v>
      </c>
      <c r="AE84">
        <f t="shared" si="26"/>
        <v>252.53574633750591</v>
      </c>
    </row>
    <row r="85" spans="7:31" x14ac:dyDescent="0.25">
      <c r="G85" s="2">
        <v>82</v>
      </c>
      <c r="H85">
        <f t="shared" si="24"/>
        <v>76.438196937262532</v>
      </c>
      <c r="I85">
        <f t="shared" si="28"/>
        <v>116.14442264619319</v>
      </c>
      <c r="J85">
        <f t="shared" si="28"/>
        <v>148.34707327435277</v>
      </c>
      <c r="K85">
        <f t="shared" si="28"/>
        <v>176.47625732052825</v>
      </c>
      <c r="L85">
        <f t="shared" si="28"/>
        <v>201.91878876569808</v>
      </c>
      <c r="M85">
        <f t="shared" si="25"/>
        <v>225.40674514920428</v>
      </c>
      <c r="N85">
        <f t="shared" si="29"/>
        <v>228.34614999300987</v>
      </c>
      <c r="O85">
        <f t="shared" si="30"/>
        <v>230.92334360303656</v>
      </c>
      <c r="P85">
        <f t="shared" si="30"/>
        <v>233.22072249392517</v>
      </c>
      <c r="Q85">
        <f t="shared" si="30"/>
        <v>235.29515826590858</v>
      </c>
      <c r="R85">
        <f t="shared" si="30"/>
        <v>237.18760455683858</v>
      </c>
      <c r="S85">
        <f t="shared" si="30"/>
        <v>238.92856001342795</v>
      </c>
      <c r="T85">
        <f t="shared" si="30"/>
        <v>240.54136602146926</v>
      </c>
      <c r="U85">
        <f t="shared" si="30"/>
        <v>242.04429537512743</v>
      </c>
      <c r="V85">
        <f t="shared" si="30"/>
        <v>243.45192852935074</v>
      </c>
      <c r="W85">
        <f t="shared" si="30"/>
        <v>244.77609099070179</v>
      </c>
      <c r="X85">
        <f t="shared" si="30"/>
        <v>246.02651005251892</v>
      </c>
      <c r="Y85">
        <f t="shared" si="30"/>
        <v>247.21128621896315</v>
      </c>
      <c r="Z85">
        <f t="shared" si="30"/>
        <v>248.33723884377835</v>
      </c>
      <c r="AA85">
        <f t="shared" si="30"/>
        <v>249.4101643027235</v>
      </c>
      <c r="AB85">
        <f t="shared" si="30"/>
        <v>250.43503203754736</v>
      </c>
      <c r="AC85">
        <f t="shared" si="30"/>
        <v>251.41613562756274</v>
      </c>
      <c r="AD85">
        <f t="shared" si="30"/>
        <v>252.35721075267458</v>
      </c>
      <c r="AE85">
        <f t="shared" si="26"/>
        <v>253.2615284085777</v>
      </c>
    </row>
    <row r="86" spans="7:31" x14ac:dyDescent="0.25">
      <c r="G86" s="2">
        <v>83</v>
      </c>
      <c r="H86">
        <f t="shared" si="24"/>
        <v>76.576347608420377</v>
      </c>
      <c r="I86">
        <f t="shared" si="28"/>
        <v>116.40208994290055</v>
      </c>
      <c r="J86">
        <f t="shared" si="28"/>
        <v>148.71187312215912</v>
      </c>
      <c r="K86">
        <f t="shared" si="28"/>
        <v>176.94036038858039</v>
      </c>
      <c r="L86">
        <f t="shared" si="28"/>
        <v>202.47654620034217</v>
      </c>
      <c r="M86">
        <f t="shared" si="25"/>
        <v>226.0537799381714</v>
      </c>
      <c r="N86">
        <f t="shared" si="29"/>
        <v>229.00061901290235</v>
      </c>
      <c r="O86">
        <f t="shared" si="30"/>
        <v>231.5843202023874</v>
      </c>
      <c r="P86">
        <f t="shared" si="30"/>
        <v>233.8874918981476</v>
      </c>
      <c r="Q86">
        <f t="shared" si="30"/>
        <v>235.96715173326186</v>
      </c>
      <c r="R86">
        <f t="shared" si="30"/>
        <v>237.86435837221961</v>
      </c>
      <c r="S86">
        <f t="shared" si="30"/>
        <v>239.60968858777161</v>
      </c>
      <c r="T86">
        <f t="shared" si="30"/>
        <v>241.22654349615922</v>
      </c>
      <c r="U86">
        <f t="shared" si="30"/>
        <v>242.73324260756141</v>
      </c>
      <c r="V86">
        <f t="shared" si="30"/>
        <v>244.14440362084349</v>
      </c>
      <c r="W86">
        <f t="shared" si="30"/>
        <v>245.47188222502629</v>
      </c>
      <c r="X86">
        <f t="shared" si="30"/>
        <v>246.72543052196954</v>
      </c>
      <c r="Y86">
        <f t="shared" si="30"/>
        <v>247.91316966085776</v>
      </c>
      <c r="Z86">
        <f t="shared" si="30"/>
        <v>249.04193636380347</v>
      </c>
      <c r="AA86">
        <f t="shared" si="30"/>
        <v>250.11754176026051</v>
      </c>
      <c r="AB86">
        <f t="shared" si="30"/>
        <v>251.14496793336102</v>
      </c>
      <c r="AC86">
        <f t="shared" si="30"/>
        <v>252.12851937838153</v>
      </c>
      <c r="AD86">
        <f t="shared" si="30"/>
        <v>253.07194126770116</v>
      </c>
      <c r="AE86">
        <f t="shared" si="26"/>
        <v>253.97851290446022</v>
      </c>
    </row>
    <row r="87" spans="7:31" x14ac:dyDescent="0.25">
      <c r="G87" s="2">
        <v>84</v>
      </c>
      <c r="H87">
        <f t="shared" si="24"/>
        <v>76.71284374073187</v>
      </c>
      <c r="I87">
        <f t="shared" si="28"/>
        <v>116.65664096319649</v>
      </c>
      <c r="J87">
        <f t="shared" si="28"/>
        <v>149.07226520939412</v>
      </c>
      <c r="K87">
        <f t="shared" si="28"/>
        <v>177.39887113049815</v>
      </c>
      <c r="L87">
        <f t="shared" si="28"/>
        <v>203.02760339071338</v>
      </c>
      <c r="M87">
        <f t="shared" si="25"/>
        <v>226.69306562114929</v>
      </c>
      <c r="N87">
        <f t="shared" si="29"/>
        <v>229.64724985764053</v>
      </c>
      <c r="O87">
        <f t="shared" si="30"/>
        <v>232.23738066619512</v>
      </c>
      <c r="P87">
        <f t="shared" si="30"/>
        <v>234.54627577460957</v>
      </c>
      <c r="Q87">
        <f t="shared" si="30"/>
        <v>236.63109709784763</v>
      </c>
      <c r="R87">
        <f t="shared" si="30"/>
        <v>238.53300706781891</v>
      </c>
      <c r="S87">
        <f t="shared" si="30"/>
        <v>240.28265964666801</v>
      </c>
      <c r="T87">
        <f t="shared" si="30"/>
        <v>241.90351496501768</v>
      </c>
      <c r="U87">
        <f t="shared" si="30"/>
        <v>243.41393868903918</v>
      </c>
      <c r="V87">
        <f t="shared" si="30"/>
        <v>244.82858531506068</v>
      </c>
      <c r="W87">
        <f t="shared" si="30"/>
        <v>246.15934035276879</v>
      </c>
      <c r="X87">
        <f t="shared" si="30"/>
        <v>247.41598041517949</v>
      </c>
      <c r="Y87">
        <f t="shared" si="30"/>
        <v>248.6066470490494</v>
      </c>
      <c r="Z87">
        <f t="shared" si="30"/>
        <v>249.73819413668883</v>
      </c>
      <c r="AA87">
        <f t="shared" si="30"/>
        <v>250.8164473844196</v>
      </c>
      <c r="AB87">
        <f t="shared" si="30"/>
        <v>251.84640136525172</v>
      </c>
      <c r="AC87">
        <f t="shared" si="30"/>
        <v>252.83237135960178</v>
      </c>
      <c r="AD87">
        <f t="shared" si="30"/>
        <v>253.77811191856321</v>
      </c>
      <c r="AE87">
        <f t="shared" si="26"/>
        <v>254.68691055316543</v>
      </c>
    </row>
    <row r="88" spans="7:31" x14ac:dyDescent="0.25">
      <c r="G88" s="2">
        <v>85</v>
      </c>
      <c r="H88">
        <f t="shared" si="24"/>
        <v>76.847724496267517</v>
      </c>
      <c r="I88">
        <f t="shared" si="28"/>
        <v>116.90815003256536</v>
      </c>
      <c r="J88">
        <f t="shared" si="28"/>
        <v>149.42835457820061</v>
      </c>
      <c r="K88">
        <f t="shared" si="28"/>
        <v>177.85192253416221</v>
      </c>
      <c r="L88">
        <f t="shared" si="28"/>
        <v>203.57211929616892</v>
      </c>
      <c r="M88">
        <f t="shared" si="25"/>
        <v>227.32478561543013</v>
      </c>
      <c r="N88">
        <f t="shared" si="29"/>
        <v>230.28622805342135</v>
      </c>
      <c r="O88">
        <f t="shared" si="30"/>
        <v>232.8827123664056</v>
      </c>
      <c r="P88">
        <f t="shared" si="30"/>
        <v>235.19726313804665</v>
      </c>
      <c r="Q88">
        <f t="shared" si="30"/>
        <v>237.28718485571616</v>
      </c>
      <c r="R88">
        <f t="shared" si="30"/>
        <v>239.19374248935932</v>
      </c>
      <c r="S88">
        <f t="shared" si="30"/>
        <v>240.94766627605992</v>
      </c>
      <c r="T88">
        <f t="shared" si="30"/>
        <v>242.57247466171768</v>
      </c>
      <c r="U88">
        <f t="shared" si="30"/>
        <v>244.08657892174037</v>
      </c>
      <c r="V88">
        <f t="shared" si="30"/>
        <v>245.50466991404045</v>
      </c>
      <c r="W88">
        <f t="shared" si="30"/>
        <v>246.83866261574778</v>
      </c>
      <c r="X88">
        <f t="shared" si="30"/>
        <v>248.09835786071261</v>
      </c>
      <c r="Y88">
        <f t="shared" si="30"/>
        <v>249.29191735167348</v>
      </c>
      <c r="Z88">
        <f t="shared" si="30"/>
        <v>250.42621192789827</v>
      </c>
      <c r="AA88">
        <f t="shared" si="30"/>
        <v>251.5070816999378</v>
      </c>
      <c r="AB88">
        <f t="shared" si="30"/>
        <v>252.53953358276226</v>
      </c>
      <c r="AC88">
        <f t="shared" si="30"/>
        <v>253.52789351420375</v>
      </c>
      <c r="AD88">
        <f t="shared" si="30"/>
        <v>254.47592531300359</v>
      </c>
      <c r="AE88">
        <f t="shared" si="26"/>
        <v>255.38692460088205</v>
      </c>
    </row>
    <row r="89" spans="7:31" x14ac:dyDescent="0.25">
      <c r="G89" s="2">
        <v>86</v>
      </c>
      <c r="H89">
        <f t="shared" si="24"/>
        <v>76.981027662926238</v>
      </c>
      <c r="I89">
        <f t="shared" si="28"/>
        <v>117.15668885104448</v>
      </c>
      <c r="J89">
        <f t="shared" si="28"/>
        <v>149.78024256307845</v>
      </c>
      <c r="K89">
        <f t="shared" si="28"/>
        <v>178.29964290215221</v>
      </c>
      <c r="L89">
        <f t="shared" si="28"/>
        <v>204.11024728716191</v>
      </c>
      <c r="M89">
        <f t="shared" si="25"/>
        <v>227.94911690231277</v>
      </c>
      <c r="N89">
        <f t="shared" si="29"/>
        <v>230.91773261642601</v>
      </c>
      <c r="O89">
        <f t="shared" si="30"/>
        <v>233.52049610016772</v>
      </c>
      <c r="P89">
        <f t="shared" si="30"/>
        <v>235.8406363707426</v>
      </c>
      <c r="Q89">
        <f t="shared" si="30"/>
        <v>237.93559881848134</v>
      </c>
      <c r="R89">
        <f t="shared" si="30"/>
        <v>239.84674975076479</v>
      </c>
      <c r="S89">
        <f t="shared" si="30"/>
        <v>241.60489478657104</v>
      </c>
      <c r="T89">
        <f t="shared" si="30"/>
        <v>243.23361000434028</v>
      </c>
      <c r="U89">
        <f t="shared" si="30"/>
        <v>244.75135175476129</v>
      </c>
      <c r="V89">
        <f t="shared" si="30"/>
        <v>246.17284683165627</v>
      </c>
      <c r="W89">
        <f t="shared" si="30"/>
        <v>247.51003933464449</v>
      </c>
      <c r="X89">
        <f t="shared" si="30"/>
        <v>248.77275403488505</v>
      </c>
      <c r="Y89">
        <f t="shared" si="30"/>
        <v>249.96917255516297</v>
      </c>
      <c r="Z89">
        <f t="shared" si="30"/>
        <v>251.10618249322087</v>
      </c>
      <c r="AA89">
        <f t="shared" si="30"/>
        <v>252.18963819524109</v>
      </c>
      <c r="AB89">
        <f t="shared" si="30"/>
        <v>253.22455877369848</v>
      </c>
      <c r="AC89">
        <f t="shared" si="30"/>
        <v>254.21528069910514</v>
      </c>
      <c r="AD89">
        <f t="shared" si="30"/>
        <v>255.16557694938382</v>
      </c>
      <c r="AE89">
        <f t="shared" si="26"/>
        <v>256.07875116202229</v>
      </c>
    </row>
    <row r="90" spans="7:31" x14ac:dyDescent="0.25">
      <c r="G90" s="2">
        <v>87</v>
      </c>
      <c r="H90">
        <f t="shared" si="24"/>
        <v>77.112789717984626</v>
      </c>
      <c r="I90">
        <f t="shared" si="28"/>
        <v>117.40232661538005</v>
      </c>
      <c r="J90">
        <f t="shared" si="28"/>
        <v>150.12802696326628</v>
      </c>
      <c r="K90">
        <f t="shared" si="28"/>
        <v>178.74215606921254</v>
      </c>
      <c r="L90">
        <f t="shared" si="28"/>
        <v>204.6421354041683</v>
      </c>
      <c r="M90">
        <f t="shared" si="25"/>
        <v>228.56623032473811</v>
      </c>
      <c r="N90">
        <f t="shared" si="29"/>
        <v>231.54193635387975</v>
      </c>
      <c r="O90">
        <f t="shared" si="30"/>
        <v>234.15090639388973</v>
      </c>
      <c r="P90">
        <f t="shared" si="30"/>
        <v>236.47657152925296</v>
      </c>
      <c r="Q90">
        <f t="shared" si="30"/>
        <v>238.57651642244844</v>
      </c>
      <c r="R90">
        <f t="shared" si="30"/>
        <v>240.49220754547804</v>
      </c>
      <c r="S90">
        <f t="shared" si="30"/>
        <v>242.25452502683706</v>
      </c>
      <c r="T90">
        <f t="shared" si="30"/>
        <v>243.8871019105683</v>
      </c>
      <c r="U90">
        <f t="shared" si="30"/>
        <v>245.40843910104221</v>
      </c>
      <c r="V90">
        <f t="shared" si="30"/>
        <v>246.83329891216624</v>
      </c>
      <c r="W90">
        <f t="shared" si="30"/>
        <v>248.17365422907704</v>
      </c>
      <c r="X90">
        <f t="shared" si="30"/>
        <v>249.43935348327724</v>
      </c>
      <c r="Y90">
        <f t="shared" si="30"/>
        <v>250.63859798712224</v>
      </c>
      <c r="Z90">
        <f t="shared" si="30"/>
        <v>251.77829190293903</v>
      </c>
      <c r="AA90">
        <f t="shared" si="30"/>
        <v>252.86430364784405</v>
      </c>
      <c r="AB90">
        <f t="shared" si="30"/>
        <v>253.90166439070359</v>
      </c>
      <c r="AC90">
        <f t="shared" si="30"/>
        <v>254.89472101286037</v>
      </c>
      <c r="AD90">
        <f t="shared" si="30"/>
        <v>255.84725554546128</v>
      </c>
      <c r="AE90">
        <f t="shared" si="26"/>
        <v>256.76257954903411</v>
      </c>
    </row>
    <row r="91" spans="7:31" x14ac:dyDescent="0.25">
      <c r="G91" s="2">
        <v>88</v>
      </c>
      <c r="H91">
        <f t="shared" si="24"/>
        <v>77.243045888014322</v>
      </c>
      <c r="I91">
        <f t="shared" si="28"/>
        <v>117.6451301341619</v>
      </c>
      <c r="J91">
        <f t="shared" si="28"/>
        <v>150.47180220522264</v>
      </c>
      <c r="K91">
        <f t="shared" si="28"/>
        <v>179.17958160724828</v>
      </c>
      <c r="L91">
        <f t="shared" si="28"/>
        <v>205.16792660179237</v>
      </c>
      <c r="M91">
        <f t="shared" si="25"/>
        <v>229.17629086791518</v>
      </c>
      <c r="N91">
        <f t="shared" si="29"/>
        <v>232.15900614790644</v>
      </c>
      <c r="O91">
        <f t="shared" si="30"/>
        <v>234.77411178991872</v>
      </c>
      <c r="P91">
        <f t="shared" si="30"/>
        <v>237.10523863359859</v>
      </c>
      <c r="Q91">
        <f t="shared" si="30"/>
        <v>239.21010902007441</v>
      </c>
      <c r="R91">
        <f t="shared" si="30"/>
        <v>241.13028843998691</v>
      </c>
      <c r="S91">
        <f t="shared" si="30"/>
        <v>242.89673067892878</v>
      </c>
      <c r="T91">
        <f t="shared" si="30"/>
        <v>244.5331250948654</v>
      </c>
      <c r="U91">
        <f t="shared" si="30"/>
        <v>246.05801663618126</v>
      </c>
      <c r="V91">
        <f t="shared" si="30"/>
        <v>247.48620273055667</v>
      </c>
      <c r="W91">
        <f t="shared" si="30"/>
        <v>248.82968471938156</v>
      </c>
      <c r="X91">
        <f t="shared" si="30"/>
        <v>250.09833442387202</v>
      </c>
      <c r="Y91">
        <f t="shared" si="30"/>
        <v>251.30037262074941</v>
      </c>
      <c r="Z91">
        <f t="shared" si="30"/>
        <v>252.44271984746914</v>
      </c>
      <c r="AA91">
        <f t="shared" si="30"/>
        <v>253.53125843115177</v>
      </c>
      <c r="AB91">
        <f t="shared" si="30"/>
        <v>254.57103145916918</v>
      </c>
      <c r="AC91">
        <f t="shared" si="30"/>
        <v>255.56639610463179</v>
      </c>
      <c r="AD91">
        <f t="shared" si="30"/>
        <v>256.52114334837688</v>
      </c>
      <c r="AE91">
        <f t="shared" si="26"/>
        <v>257.43859258336545</v>
      </c>
    </row>
    <row r="92" spans="7:31" x14ac:dyDescent="0.25">
      <c r="G92" s="2">
        <v>89</v>
      </c>
      <c r="H92">
        <f t="shared" si="24"/>
        <v>77.371830205414213</v>
      </c>
      <c r="I92">
        <f t="shared" si="28"/>
        <v>117.88516393641622</v>
      </c>
      <c r="J92">
        <f t="shared" si="28"/>
        <v>150.8116594958814</v>
      </c>
      <c r="K92">
        <f t="shared" si="28"/>
        <v>179.61203501869952</v>
      </c>
      <c r="L92">
        <f t="shared" si="28"/>
        <v>205.68775897905681</v>
      </c>
      <c r="M92">
        <f t="shared" si="25"/>
        <v>229.77945792409187</v>
      </c>
      <c r="N92">
        <f t="shared" si="29"/>
        <v>232.76910322334493</v>
      </c>
      <c r="O92">
        <f t="shared" si="30"/>
        <v>235.39027511702326</v>
      </c>
      <c r="P92">
        <f t="shared" si="30"/>
        <v>237.72680194012037</v>
      </c>
      <c r="Q92">
        <f t="shared" si="30"/>
        <v>239.83654215496153</v>
      </c>
      <c r="R92">
        <f t="shared" si="30"/>
        <v>241.7611591507661</v>
      </c>
      <c r="S92">
        <f t="shared" si="30"/>
        <v>243.53167953708493</v>
      </c>
      <c r="T92">
        <f t="shared" si="30"/>
        <v>245.17184834886558</v>
      </c>
      <c r="U92">
        <f t="shared" si="30"/>
        <v>246.70025408036625</v>
      </c>
      <c r="V92">
        <f t="shared" si="30"/>
        <v>248.13172887591671</v>
      </c>
      <c r="W92">
        <f t="shared" si="30"/>
        <v>249.47830221134305</v>
      </c>
      <c r="X92">
        <f t="shared" si="30"/>
        <v>250.74986903306487</v>
      </c>
      <c r="Y92">
        <f t="shared" si="30"/>
        <v>251.95466936205787</v>
      </c>
      <c r="Z92">
        <f t="shared" si="30"/>
        <v>253.09963992573444</v>
      </c>
      <c r="AA92">
        <f t="shared" si="30"/>
        <v>254.19067680392823</v>
      </c>
      <c r="AB92">
        <f t="shared" si="30"/>
        <v>255.23283486774892</v>
      </c>
      <c r="AC92">
        <f t="shared" si="30"/>
        <v>256.23048146570414</v>
      </c>
      <c r="AD92">
        <f t="shared" si="30"/>
        <v>257.18741642712854</v>
      </c>
      <c r="AE92">
        <f t="shared" si="26"/>
        <v>258.10696688885855</v>
      </c>
    </row>
    <row r="93" spans="7:31" x14ac:dyDescent="0.25">
      <c r="G93" s="2">
        <v>90</v>
      </c>
      <c r="H93">
        <f t="shared" si="24"/>
        <v>77.499175561784099</v>
      </c>
      <c r="I93">
        <f t="shared" si="28"/>
        <v>118.1224903740974</v>
      </c>
      <c r="J93">
        <f t="shared" si="28"/>
        <v>151.14768696730235</v>
      </c>
      <c r="K93">
        <f t="shared" si="28"/>
        <v>180.03962791907566</v>
      </c>
      <c r="L93">
        <f t="shared" si="28"/>
        <v>206.20176599680514</v>
      </c>
      <c r="M93">
        <f t="shared" si="25"/>
        <v>230.37588554253313</v>
      </c>
      <c r="N93">
        <f t="shared" si="29"/>
        <v>233.37238340060347</v>
      </c>
      <c r="O93">
        <f t="shared" si="30"/>
        <v>235.99955374576345</v>
      </c>
      <c r="P93">
        <f t="shared" si="30"/>
        <v>238.34142019908921</v>
      </c>
      <c r="Q93">
        <f t="shared" si="30"/>
        <v>240.45597582148693</v>
      </c>
      <c r="R93">
        <f t="shared" si="30"/>
        <v>242.38498080574641</v>
      </c>
      <c r="S93">
        <f t="shared" si="30"/>
        <v>244.15953377087155</v>
      </c>
      <c r="T93">
        <f t="shared" si="30"/>
        <v>245.80343480609676</v>
      </c>
      <c r="U93">
        <f t="shared" si="30"/>
        <v>247.33531546455407</v>
      </c>
      <c r="V93">
        <f t="shared" si="30"/>
        <v>248.77004221898082</v>
      </c>
      <c r="W93">
        <f t="shared" si="30"/>
        <v>250.11967236501835</v>
      </c>
      <c r="X93">
        <f t="shared" si="30"/>
        <v>251.39412371569526</v>
      </c>
      <c r="Y93">
        <f t="shared" si="30"/>
        <v>252.60165532105171</v>
      </c>
      <c r="Z93">
        <f t="shared" si="30"/>
        <v>253.74921991742639</v>
      </c>
      <c r="AA93">
        <f t="shared" si="30"/>
        <v>254.84272718359213</v>
      </c>
      <c r="AB93">
        <f t="shared" si="30"/>
        <v>255.88724364264198</v>
      </c>
      <c r="AC93">
        <f t="shared" si="30"/>
        <v>256.88714670471222</v>
      </c>
      <c r="AD93">
        <f t="shared" si="30"/>
        <v>257.84624494870462</v>
      </c>
      <c r="AE93">
        <f t="shared" si="26"/>
        <v>258.76787316875294</v>
      </c>
    </row>
    <row r="94" spans="7:31" x14ac:dyDescent="0.25">
      <c r="G94" s="2">
        <v>91</v>
      </c>
      <c r="H94">
        <f t="shared" si="24"/>
        <v>77.625113758349372</v>
      </c>
      <c r="I94">
        <f t="shared" si="28"/>
        <v>118.35716971888513</v>
      </c>
      <c r="J94">
        <f t="shared" si="28"/>
        <v>151.47996981329132</v>
      </c>
      <c r="K94">
        <f t="shared" si="28"/>
        <v>180.46246820937162</v>
      </c>
      <c r="L94">
        <f t="shared" si="28"/>
        <v>206.71007668307365</v>
      </c>
      <c r="M94">
        <f t="shared" si="25"/>
        <v>230.96572266568691</v>
      </c>
      <c r="N94">
        <f t="shared" si="29"/>
        <v>233.96899733454202</v>
      </c>
      <c r="O94">
        <f t="shared" si="30"/>
        <v>236.60209982975169</v>
      </c>
      <c r="P94">
        <f t="shared" si="30"/>
        <v>238.94924689808229</v>
      </c>
      <c r="Q94">
        <f t="shared" si="30"/>
        <v>241.06856471008624</v>
      </c>
      <c r="R94">
        <f t="shared" si="30"/>
        <v>243.00190919133658</v>
      </c>
      <c r="S94">
        <f t="shared" si="30"/>
        <v>244.78045017380074</v>
      </c>
      <c r="T94">
        <f t="shared" si="30"/>
        <v>246.4280421920773</v>
      </c>
      <c r="U94">
        <f t="shared" si="30"/>
        <v>247.96335938194341</v>
      </c>
      <c r="V94">
        <f t="shared" si="30"/>
        <v>249.40130216488814</v>
      </c>
      <c r="W94">
        <f t="shared" si="30"/>
        <v>250.75395534870557</v>
      </c>
      <c r="X94">
        <f t="shared" si="30"/>
        <v>252.03125936015712</v>
      </c>
      <c r="Y94">
        <f t="shared" si="30"/>
        <v>253.24149206791691</v>
      </c>
      <c r="Z94">
        <f t="shared" si="30"/>
        <v>254.39162204022219</v>
      </c>
      <c r="AA94">
        <f t="shared" si="30"/>
        <v>255.48757240441159</v>
      </c>
      <c r="AB94">
        <f t="shared" si="30"/>
        <v>256.53442120672042</v>
      </c>
      <c r="AC94">
        <f t="shared" si="30"/>
        <v>257.53655580766093</v>
      </c>
      <c r="AD94">
        <f t="shared" si="30"/>
        <v>258.49779343895932</v>
      </c>
      <c r="AE94">
        <f t="shared" si="26"/>
        <v>259.42147646738277</v>
      </c>
    </row>
    <row r="95" spans="7:31" x14ac:dyDescent="0.25">
      <c r="G95" s="2">
        <v>92</v>
      </c>
      <c r="H95">
        <f t="shared" si="24"/>
        <v>77.74967555363007</v>
      </c>
      <c r="I95">
        <f t="shared" si="28"/>
        <v>118.58926025366289</v>
      </c>
      <c r="J95">
        <f t="shared" si="28"/>
        <v>151.80859041851761</v>
      </c>
      <c r="K95">
        <f t="shared" si="28"/>
        <v>180.88066023903011</v>
      </c>
      <c r="L95">
        <f t="shared" si="28"/>
        <v>207.21281582722099</v>
      </c>
      <c r="M95">
        <f t="shared" si="25"/>
        <v>231.54911335244466</v>
      </c>
      <c r="N95">
        <f t="shared" si="29"/>
        <v>234.55909074030143</v>
      </c>
      <c r="O95">
        <f t="shared" si="30"/>
        <v>237.19806053372875</v>
      </c>
      <c r="P95">
        <f t="shared" si="30"/>
        <v>239.55043049205986</v>
      </c>
      <c r="Q95">
        <f t="shared" si="30"/>
        <v>241.67445843913413</v>
      </c>
      <c r="R95">
        <f t="shared" si="30"/>
        <v>243.61209498594678</v>
      </c>
      <c r="S95">
        <f t="shared" si="30"/>
        <v>245.39458039836404</v>
      </c>
      <c r="T95">
        <f t="shared" si="30"/>
        <v>247.04582306074656</v>
      </c>
      <c r="U95">
        <f t="shared" si="30"/>
        <v>248.58453922570533</v>
      </c>
      <c r="V95">
        <f t="shared" si="30"/>
        <v>250.02566289213033</v>
      </c>
      <c r="W95">
        <f t="shared" si="30"/>
        <v>251.38130607903534</v>
      </c>
      <c r="X95">
        <f t="shared" si="30"/>
        <v>252.66143157956992</v>
      </c>
      <c r="Y95">
        <f t="shared" si="30"/>
        <v>253.87433587521389</v>
      </c>
      <c r="Z95">
        <f t="shared" si="30"/>
        <v>255.02700319294757</v>
      </c>
      <c r="AA95">
        <f t="shared" si="30"/>
        <v>256.12536996159071</v>
      </c>
      <c r="AB95">
        <f t="shared" si="30"/>
        <v>257.1745256244979</v>
      </c>
      <c r="AC95">
        <f t="shared" si="30"/>
        <v>258.17886738373755</v>
      </c>
      <c r="AD95">
        <f t="shared" si="30"/>
        <v>259.14222102923327</v>
      </c>
      <c r="AE95">
        <f t="shared" si="26"/>
        <v>260.06793641757383</v>
      </c>
    </row>
    <row r="96" spans="7:31" x14ac:dyDescent="0.25">
      <c r="G96" s="2">
        <v>93</v>
      </c>
      <c r="H96">
        <f t="shared" si="24"/>
        <v>77.87289070853312</v>
      </c>
      <c r="I96">
        <f t="shared" si="28"/>
        <v>118.81881835902368</v>
      </c>
      <c r="J96">
        <f t="shared" si="28"/>
        <v>152.13362848061777</v>
      </c>
      <c r="K96">
        <f t="shared" si="28"/>
        <v>181.2943049600656</v>
      </c>
      <c r="L96">
        <f t="shared" si="28"/>
        <v>207.71010416354667</v>
      </c>
      <c r="M96">
        <f t="shared" si="25"/>
        <v>232.12619698933236</v>
      </c>
      <c r="N96">
        <f t="shared" si="29"/>
        <v>235.14280460692351</v>
      </c>
      <c r="O96">
        <f t="shared" si="30"/>
        <v>237.78757824931046</v>
      </c>
      <c r="P96">
        <f t="shared" si="30"/>
        <v>240.1451146210035</v>
      </c>
      <c r="Q96">
        <f t="shared" si="30"/>
        <v>242.27380177428824</v>
      </c>
      <c r="R96">
        <f t="shared" si="30"/>
        <v>244.21568398088712</v>
      </c>
      <c r="S96">
        <f t="shared" si="30"/>
        <v>246.0020711783589</v>
      </c>
      <c r="T96">
        <f t="shared" si="30"/>
        <v>247.65692501811267</v>
      </c>
      <c r="U96">
        <f t="shared" si="30"/>
        <v>249.19900341386156</v>
      </c>
      <c r="V96">
        <f t="shared" si="30"/>
        <v>250.64327357858065</v>
      </c>
      <c r="W96">
        <f t="shared" si="30"/>
        <v>252.00187444808188</v>
      </c>
      <c r="X96">
        <f t="shared" si="30"/>
        <v>253.28479093990984</v>
      </c>
      <c r="Y96">
        <f t="shared" si="30"/>
        <v>254.50033794697535</v>
      </c>
      <c r="Z96">
        <f t="shared" si="30"/>
        <v>255.65551518559224</v>
      </c>
      <c r="AA96">
        <f t="shared" si="30"/>
        <v>256.75627224215907</v>
      </c>
      <c r="AB96">
        <f t="shared" si="30"/>
        <v>257.8077098338531</v>
      </c>
      <c r="AC96">
        <f t="shared" si="30"/>
        <v>258.81423489783327</v>
      </c>
      <c r="AD96">
        <f t="shared" si="30"/>
        <v>259.77968168964088</v>
      </c>
      <c r="AE96">
        <f t="shared" si="26"/>
        <v>260.70740747466556</v>
      </c>
    </row>
    <row r="97" spans="7:31" x14ac:dyDescent="0.25">
      <c r="G97" s="2">
        <v>94</v>
      </c>
      <c r="H97">
        <f t="shared" si="24"/>
        <v>77.994788029033003</v>
      </c>
      <c r="I97">
        <f t="shared" si="28"/>
        <v>119.0458985951251</v>
      </c>
      <c r="J97">
        <f t="shared" si="28"/>
        <v>152.45516112573949</v>
      </c>
      <c r="K97">
        <f t="shared" si="28"/>
        <v>181.70350007292035</v>
      </c>
      <c r="L97">
        <f t="shared" si="28"/>
        <v>208.2020585450752</v>
      </c>
      <c r="M97">
        <f t="shared" si="25"/>
        <v>232.69710849040774</v>
      </c>
      <c r="N97">
        <f t="shared" si="29"/>
        <v>235.7202753995482</v>
      </c>
      <c r="O97">
        <f t="shared" si="30"/>
        <v>238.37079079919664</v>
      </c>
      <c r="P97">
        <f t="shared" si="30"/>
        <v>240.73343831591637</v>
      </c>
      <c r="Q97">
        <f t="shared" si="30"/>
        <v>242.86673483610468</v>
      </c>
      <c r="R97">
        <f t="shared" si="30"/>
        <v>244.81281728945351</v>
      </c>
      <c r="S97">
        <f t="shared" si="30"/>
        <v>246.60306453932625</v>
      </c>
      <c r="T97">
        <f t="shared" si="30"/>
        <v>248.26149093394113</v>
      </c>
      <c r="U97">
        <f t="shared" si="30"/>
        <v>249.80689560213739</v>
      </c>
      <c r="V97">
        <f t="shared" si="30"/>
        <v>251.25427861543679</v>
      </c>
      <c r="W97">
        <f t="shared" si="30"/>
        <v>252.61580553832999</v>
      </c>
      <c r="X97">
        <f t="shared" si="30"/>
        <v>253.90148317594344</v>
      </c>
      <c r="Y97">
        <f t="shared" si="30"/>
        <v>255.11964463555429</v>
      </c>
      <c r="Z97">
        <f t="shared" si="30"/>
        <v>256.27730495702679</v>
      </c>
      <c r="AA97">
        <f t="shared" si="30"/>
        <v>257.38042674351584</v>
      </c>
      <c r="AB97">
        <f t="shared" si="30"/>
        <v>258.43412186536335</v>
      </c>
      <c r="AC97">
        <f t="shared" si="30"/>
        <v>259.44280689063237</v>
      </c>
      <c r="AD97">
        <f t="shared" si="30"/>
        <v>260.41032444988298</v>
      </c>
      <c r="AE97">
        <f t="shared" si="26"/>
        <v>261.34003913801939</v>
      </c>
    </row>
    <row r="98" spans="7:31" x14ac:dyDescent="0.25">
      <c r="G98" s="2">
        <v>95</v>
      </c>
      <c r="H98">
        <f t="shared" si="24"/>
        <v>78.11539540659416</v>
      </c>
      <c r="I98">
        <f t="shared" si="28"/>
        <v>119.27055377918937</v>
      </c>
      <c r="J98">
        <f t="shared" si="28"/>
        <v>152.77326301794182</v>
      </c>
      <c r="K98">
        <f t="shared" si="28"/>
        <v>182.10834016457724</v>
      </c>
      <c r="L98">
        <f t="shared" si="28"/>
        <v>208.68879210812969</v>
      </c>
      <c r="M98">
        <f t="shared" si="25"/>
        <v>233.26197848658023</v>
      </c>
      <c r="N98">
        <f t="shared" si="29"/>
        <v>236.29163525091084</v>
      </c>
      <c r="O98">
        <f t="shared" si="30"/>
        <v>238.94783163057471</v>
      </c>
      <c r="P98">
        <f t="shared" si="30"/>
        <v>241.31553619392287</v>
      </c>
      <c r="Q98">
        <f t="shared" si="30"/>
        <v>243.45339329666601</v>
      </c>
      <c r="R98">
        <f t="shared" si="30"/>
        <v>245.40363154494995</v>
      </c>
      <c r="S98">
        <f t="shared" si="30"/>
        <v>247.19769799785291</v>
      </c>
      <c r="T98">
        <f t="shared" si="30"/>
        <v>248.85965914224181</v>
      </c>
      <c r="U98">
        <f t="shared" si="30"/>
        <v>250.40835488555157</v>
      </c>
      <c r="V98">
        <f t="shared" si="30"/>
        <v>251.85881780984218</v>
      </c>
      <c r="W98">
        <f t="shared" si="30"/>
        <v>253.22323982626605</v>
      </c>
      <c r="X98">
        <f t="shared" si="30"/>
        <v>254.5116493957334</v>
      </c>
      <c r="Y98">
        <f t="shared" si="30"/>
        <v>255.73239764699656</v>
      </c>
      <c r="Z98">
        <f t="shared" si="30"/>
        <v>256.89251478119775</v>
      </c>
      <c r="AA98">
        <f t="shared" si="30"/>
        <v>257.99797628040801</v>
      </c>
      <c r="AB98">
        <f t="shared" si="30"/>
        <v>259.05390505003129</v>
      </c>
      <c r="AC98">
        <f t="shared" si="30"/>
        <v>260.06472718705385</v>
      </c>
      <c r="AD98">
        <f t="shared" si="30"/>
        <v>261.03429360837481</v>
      </c>
      <c r="AE98">
        <f t="shared" si="26"/>
        <v>261.9659761608051</v>
      </c>
    </row>
    <row r="99" spans="7:31" x14ac:dyDescent="0.25">
      <c r="G99" s="2">
        <v>96</v>
      </c>
      <c r="H99">
        <f t="shared" si="24"/>
        <v>78.234739856476807</v>
      </c>
      <c r="I99">
        <f t="shared" si="28"/>
        <v>119.49283505892383</v>
      </c>
      <c r="J99">
        <f t="shared" si="28"/>
        <v>153.0880064628403</v>
      </c>
      <c r="K99">
        <f t="shared" si="28"/>
        <v>182.50891683941731</v>
      </c>
      <c r="L99">
        <f t="shared" si="28"/>
        <v>209.17041442827392</v>
      </c>
      <c r="M99">
        <f t="shared" si="25"/>
        <v>233.82093350501793</v>
      </c>
      <c r="N99">
        <f t="shared" si="29"/>
        <v>236.85701214281315</v>
      </c>
      <c r="O99">
        <f t="shared" si="30"/>
        <v>239.51882999839634</v>
      </c>
      <c r="P99">
        <f t="shared" si="30"/>
        <v>241.89153864315216</v>
      </c>
      <c r="Q99">
        <f t="shared" si="30"/>
        <v>244.03390856591528</v>
      </c>
      <c r="R99">
        <f t="shared" si="30"/>
        <v>245.98825908834178</v>
      </c>
      <c r="S99">
        <f t="shared" si="30"/>
        <v>247.78610475043851</v>
      </c>
      <c r="T99">
        <f t="shared" si="30"/>
        <v>249.45156363125815</v>
      </c>
      <c r="U99">
        <f t="shared" si="30"/>
        <v>251.00351598945039</v>
      </c>
      <c r="V99">
        <f t="shared" si="30"/>
        <v>252.45702657689858</v>
      </c>
      <c r="W99">
        <f t="shared" si="30"/>
        <v>253.82431337530963</v>
      </c>
      <c r="X99">
        <f t="shared" si="30"/>
        <v>255.11542627443745</v>
      </c>
      <c r="Y99">
        <f t="shared" ref="O99:AD103" si="31">($M99*POWER($M$3,LN($M99/$AE99)/LN(4)))/POWER(Y$3,LN($M99/$AE99)/LN(4))</f>
        <v>256.33873423566058</v>
      </c>
      <c r="Z99">
        <f t="shared" si="31"/>
        <v>257.50128246252712</v>
      </c>
      <c r="AA99">
        <f t="shared" si="31"/>
        <v>258.60905918107255</v>
      </c>
      <c r="AB99">
        <f t="shared" si="31"/>
        <v>259.66719821613498</v>
      </c>
      <c r="AC99">
        <f t="shared" si="31"/>
        <v>260.68013509378011</v>
      </c>
      <c r="AD99">
        <f t="shared" si="31"/>
        <v>261.65172893042438</v>
      </c>
      <c r="AE99">
        <f t="shared" si="26"/>
        <v>262.58535874880363</v>
      </c>
    </row>
    <row r="100" spans="7:31" x14ac:dyDescent="0.25">
      <c r="G100" s="2">
        <v>97</v>
      </c>
      <c r="H100">
        <f t="shared" si="24"/>
        <v>78.352847554057988</v>
      </c>
      <c r="I100">
        <f t="shared" si="28"/>
        <v>119.71279198211705</v>
      </c>
      <c r="J100">
        <f t="shared" si="28"/>
        <v>153.39946150585754</v>
      </c>
      <c r="K100">
        <f t="shared" si="28"/>
        <v>182.90531884327666</v>
      </c>
      <c r="L100">
        <f t="shared" si="28"/>
        <v>209.64703166816321</v>
      </c>
      <c r="M100">
        <f t="shared" si="25"/>
        <v>234.37409613925888</v>
      </c>
      <c r="N100">
        <f t="shared" si="29"/>
        <v>237.41653007819122</v>
      </c>
      <c r="O100">
        <f t="shared" si="31"/>
        <v>240.08391113915806</v>
      </c>
      <c r="P100">
        <f t="shared" si="31"/>
        <v>242.46157199804335</v>
      </c>
      <c r="Q100">
        <f t="shared" si="31"/>
        <v>244.60840796833398</v>
      </c>
      <c r="R100">
        <f t="shared" si="31"/>
        <v>246.56682814618642</v>
      </c>
      <c r="S100">
        <f t="shared" si="31"/>
        <v>248.3684138525758</v>
      </c>
      <c r="T100">
        <f t="shared" si="31"/>
        <v>250.03733422361256</v>
      </c>
      <c r="U100">
        <f t="shared" si="31"/>
        <v>251.59250945064431</v>
      </c>
      <c r="V100">
        <f t="shared" si="31"/>
        <v>253.04903612172933</v>
      </c>
      <c r="W100">
        <f t="shared" si="31"/>
        <v>254.41915801874845</v>
      </c>
      <c r="X100">
        <f t="shared" si="31"/>
        <v>255.71294623806551</v>
      </c>
      <c r="Y100">
        <f t="shared" si="31"/>
        <v>256.93878738875276</v>
      </c>
      <c r="Z100">
        <f t="shared" si="31"/>
        <v>258.1037415211872</v>
      </c>
      <c r="AA100">
        <f t="shared" si="31"/>
        <v>259.21380947321518</v>
      </c>
      <c r="AB100">
        <f t="shared" si="31"/>
        <v>260.2741358758791</v>
      </c>
      <c r="AC100">
        <f t="shared" si="31"/>
        <v>261.28916558655072</v>
      </c>
      <c r="AD100">
        <f t="shared" si="31"/>
        <v>262.26276583614225</v>
      </c>
      <c r="AE100">
        <f t="shared" si="26"/>
        <v>263.19832274890848</v>
      </c>
    </row>
    <row r="101" spans="7:31" x14ac:dyDescent="0.25">
      <c r="G101" s="2">
        <v>98</v>
      </c>
      <c r="H101">
        <f t="shared" si="24"/>
        <v>78.469743869289829</v>
      </c>
      <c r="I101">
        <f t="shared" si="28"/>
        <v>119.93047256264687</v>
      </c>
      <c r="J101">
        <f t="shared" si="28"/>
        <v>153.70769602541066</v>
      </c>
      <c r="K101">
        <f t="shared" si="28"/>
        <v>183.29763218112012</v>
      </c>
      <c r="L101">
        <f t="shared" si="28"/>
        <v>210.11874671779981</v>
      </c>
      <c r="M101">
        <f t="shared" si="25"/>
        <v>234.9215852105979</v>
      </c>
      <c r="N101">
        <f t="shared" si="29"/>
        <v>237.97030924435867</v>
      </c>
      <c r="O101">
        <f t="shared" si="31"/>
        <v>240.64319643576894</v>
      </c>
      <c r="P101">
        <f t="shared" si="31"/>
        <v>243.02575870565863</v>
      </c>
      <c r="Q101">
        <f t="shared" si="31"/>
        <v>245.17701491055976</v>
      </c>
      <c r="R101">
        <f t="shared" si="31"/>
        <v>247.13946299943836</v>
      </c>
      <c r="S101">
        <f t="shared" si="31"/>
        <v>248.94475038864712</v>
      </c>
      <c r="T101">
        <f t="shared" si="31"/>
        <v>250.61709674721232</v>
      </c>
      <c r="U101">
        <f t="shared" si="31"/>
        <v>252.17546178925366</v>
      </c>
      <c r="V101">
        <f t="shared" si="31"/>
        <v>253.63497361220504</v>
      </c>
      <c r="W101">
        <f t="shared" si="31"/>
        <v>255.00790153329058</v>
      </c>
      <c r="X101">
        <f t="shared" si="31"/>
        <v>256.30433763781195</v>
      </c>
      <c r="Y101">
        <f t="shared" si="31"/>
        <v>257.53268600139882</v>
      </c>
      <c r="Z101">
        <f t="shared" si="31"/>
        <v>258.7000213688728</v>
      </c>
      <c r="AA101">
        <f t="shared" si="31"/>
        <v>259.81235706045055</v>
      </c>
      <c r="AB101">
        <f t="shared" si="31"/>
        <v>260.87484840247231</v>
      </c>
      <c r="AC101">
        <f t="shared" si="31"/>
        <v>261.89194948784967</v>
      </c>
      <c r="AD101">
        <f t="shared" si="31"/>
        <v>262.8675355787139</v>
      </c>
      <c r="AE101">
        <f t="shared" si="26"/>
        <v>263.80499982795982</v>
      </c>
    </row>
    <row r="102" spans="7:31" x14ac:dyDescent="0.25">
      <c r="G102" s="2">
        <v>99</v>
      </c>
      <c r="H102">
        <f t="shared" si="24"/>
        <v>78.585453399408593</v>
      </c>
      <c r="I102">
        <f t="shared" si="28"/>
        <v>120.14592334312006</v>
      </c>
      <c r="J102">
        <f t="shared" si="28"/>
        <v>154.01277582134725</v>
      </c>
      <c r="K102">
        <f t="shared" si="28"/>
        <v>183.68594022872321</v>
      </c>
      <c r="L102">
        <f t="shared" si="28"/>
        <v>210.58565932765822</v>
      </c>
      <c r="M102">
        <f t="shared" si="25"/>
        <v>235.4635159212807</v>
      </c>
      <c r="N102">
        <f t="shared" si="29"/>
        <v>238.51846616796277</v>
      </c>
      <c r="O102">
        <f t="shared" si="31"/>
        <v>241.19680357404874</v>
      </c>
      <c r="P102">
        <f t="shared" si="31"/>
        <v>243.58421748355408</v>
      </c>
      <c r="Q102">
        <f t="shared" si="31"/>
        <v>245.73984904049419</v>
      </c>
      <c r="R102">
        <f t="shared" si="31"/>
        <v>247.70628414368423</v>
      </c>
      <c r="S102">
        <f t="shared" si="31"/>
        <v>249.515235633196</v>
      </c>
      <c r="T102">
        <f t="shared" si="31"/>
        <v>251.19097319747979</v>
      </c>
      <c r="U102">
        <f t="shared" si="31"/>
        <v>252.75249567183141</v>
      </c>
      <c r="V102">
        <f t="shared" si="31"/>
        <v>254.21496234290112</v>
      </c>
      <c r="W102">
        <f t="shared" si="31"/>
        <v>255.59066780380692</v>
      </c>
      <c r="X102">
        <f t="shared" si="31"/>
        <v>256.88972491553892</v>
      </c>
      <c r="Y102">
        <f t="shared" si="31"/>
        <v>258.12055504282762</v>
      </c>
      <c r="Z102">
        <f t="shared" si="31"/>
        <v>259.29024747565114</v>
      </c>
      <c r="AA102">
        <f t="shared" si="31"/>
        <v>260.40482788978574</v>
      </c>
      <c r="AB102">
        <f t="shared" si="31"/>
        <v>261.46946219821638</v>
      </c>
      <c r="AC102">
        <f t="shared" si="31"/>
        <v>262.48861363557353</v>
      </c>
      <c r="AD102">
        <f t="shared" si="31"/>
        <v>263.46616541362272</v>
      </c>
      <c r="AE102">
        <f t="shared" si="26"/>
        <v>264.40551764250023</v>
      </c>
    </row>
    <row r="103" spans="7:31" x14ac:dyDescent="0.25">
      <c r="G103" s="2">
        <v>100</v>
      </c>
      <c r="H103">
        <f>$B$10</f>
        <v>78.7</v>
      </c>
      <c r="I103">
        <f t="shared" si="28"/>
        <v>120.35918945434784</v>
      </c>
      <c r="J103">
        <f t="shared" si="28"/>
        <v>154.31476469891663</v>
      </c>
      <c r="K103">
        <f t="shared" si="28"/>
        <v>184.07032383872425</v>
      </c>
      <c r="L103">
        <f t="shared" si="28"/>
        <v>211.04786623510969</v>
      </c>
      <c r="M103">
        <f>$C$10</f>
        <v>236</v>
      </c>
      <c r="N103">
        <f t="shared" si="29"/>
        <v>239.0611138621542</v>
      </c>
      <c r="O103">
        <f t="shared" si="31"/>
        <v>241.74484669136257</v>
      </c>
      <c r="P103">
        <f t="shared" si="31"/>
        <v>244.13706346971736</v>
      </c>
      <c r="Q103">
        <f t="shared" si="31"/>
        <v>246.29702639841591</v>
      </c>
      <c r="R103">
        <f t="shared" si="31"/>
        <v>248.26740844132689</v>
      </c>
      <c r="S103">
        <f t="shared" si="31"/>
        <v>250.07998720409435</v>
      </c>
      <c r="T103">
        <f t="shared" si="31"/>
        <v>251.75908189143016</v>
      </c>
      <c r="U103">
        <f t="shared" si="31"/>
        <v>253.32373006628842</v>
      </c>
      <c r="V103">
        <f t="shared" si="31"/>
        <v>254.7891218908166</v>
      </c>
      <c r="W103">
        <f t="shared" si="31"/>
        <v>256.16757697979534</v>
      </c>
      <c r="X103">
        <f t="shared" si="31"/>
        <v>257.469228760943</v>
      </c>
      <c r="Y103">
        <f t="shared" si="31"/>
        <v>258.7025157142038</v>
      </c>
      <c r="Z103">
        <f t="shared" si="31"/>
        <v>259.87454152842719</v>
      </c>
      <c r="AA103">
        <f t="shared" si="31"/>
        <v>260.99134411068792</v>
      </c>
      <c r="AB103">
        <f t="shared" si="31"/>
        <v>262.05809985414834</v>
      </c>
      <c r="AC103">
        <f t="shared" si="31"/>
        <v>263.07928104322332</v>
      </c>
      <c r="AD103">
        <f t="shared" si="31"/>
        <v>264.05877875936886</v>
      </c>
      <c r="AE103">
        <f>$D$10</f>
        <v>265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Гришкин Максим Александрович</dc:creator>
  <cp:lastModifiedBy>Гришкин</cp:lastModifiedBy>
  <dcterms:created xsi:type="dcterms:W3CDTF">2026-01-28T09:55:22Z</dcterms:created>
  <dcterms:modified xsi:type="dcterms:W3CDTF">2026-02-08T19:44:52Z</dcterms:modified>
</cp:coreProperties>
</file>