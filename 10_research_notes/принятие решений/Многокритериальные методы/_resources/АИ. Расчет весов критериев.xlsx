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ocs\maxim\obsidian2\Принятие решений\Многокритериальные методы\_resources\"/>
    </mc:Choice>
  </mc:AlternateContent>
  <xr:revisionPtr revIDLastSave="0" documentId="13_ncr:1_{5D9AE351-716C-44B9-9D45-DB601B893EF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Критерии" sheetId="1" r:id="rId1"/>
    <sheet name="Попарное сравнение" sheetId="3" r:id="rId2"/>
    <sheet name="Веса критериев" sheetId="7" r:id="rId3"/>
    <sheet name="Оценка согласованности" sheetId="8" r:id="rId4"/>
    <sheet name="Max несогласованность" sheetId="9" r:id="rId5"/>
    <sheet name="Матрица сравнения" sheetId="4" r:id="rId6"/>
    <sheet name="Матрица сравнения Норм" sheetId="6" r:id="rId7"/>
    <sheet name="Шкала" sheetId="2" r:id="rId8"/>
    <sheet name="Индекс случайности" sheetId="5" r:id="rId9"/>
  </sheets>
  <definedNames>
    <definedName name="ExternalData_1" localSheetId="4" hidden="1">'Max несогласованность'!$A$1:$H$8</definedName>
    <definedName name="ExternalData_1" localSheetId="2" hidden="1">'Веса критериев'!$A$1:$B$8</definedName>
    <definedName name="ExternalData_1" localSheetId="5" hidden="1">'Матрица сравнения'!$A$1:$H$8</definedName>
    <definedName name="ExternalData_1" localSheetId="6" hidden="1">'Матрица сравнения Норм'!$A$1:$H$8</definedName>
    <definedName name="ExternalData_1" localSheetId="3" hidden="1">'Оценка согласованности'!$A$1:$F$2</definedName>
    <definedName name="ExternalData_4" localSheetId="5" hidden="1">'Матрица сравнения'!#REF!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2" l="1"/>
  <c r="A15" i="2"/>
  <c r="A13" i="2"/>
  <c r="A11" i="2"/>
  <c r="A9" i="2"/>
  <c r="A7" i="2"/>
  <c r="B7" i="2"/>
  <c r="A5" i="2"/>
  <c r="A3" i="2"/>
  <c r="B3" i="2"/>
  <c r="A18" i="3"/>
  <c r="E18" i="3"/>
  <c r="A19" i="3"/>
  <c r="E19" i="3"/>
  <c r="A20" i="3"/>
  <c r="E20" i="3"/>
  <c r="A21" i="3"/>
  <c r="E21" i="3"/>
  <c r="A22" i="3"/>
  <c r="E22" i="3"/>
  <c r="A23" i="3"/>
  <c r="E23" i="3"/>
  <c r="A24" i="3"/>
  <c r="E24" i="3"/>
  <c r="A25" i="3"/>
  <c r="E25" i="3"/>
  <c r="A26" i="3"/>
  <c r="E26" i="3"/>
  <c r="A27" i="3"/>
  <c r="E27" i="3"/>
  <c r="A15" i="3"/>
  <c r="A16" i="3"/>
  <c r="A17" i="3"/>
  <c r="E16" i="3"/>
  <c r="E17" i="3"/>
  <c r="A13" i="3"/>
  <c r="A14" i="3"/>
  <c r="C6" i="3" l="1"/>
  <c r="B6" i="3"/>
  <c r="A12" i="3"/>
  <c r="B6" i="2"/>
  <c r="B5" i="2"/>
  <c r="B4" i="2"/>
  <c r="B2" i="2"/>
  <c r="B8" i="2"/>
  <c r="B9" i="2"/>
  <c r="A11" i="3" l="1"/>
  <c r="A10" i="3"/>
  <c r="A7" i="3"/>
  <c r="A8" i="3"/>
  <c r="A9" i="3"/>
  <c r="A6" i="3"/>
  <c r="D1" i="3"/>
  <c r="E6" i="3"/>
  <c r="E11" i="3" l="1"/>
  <c r="E12" i="3"/>
  <c r="E9" i="3"/>
  <c r="E14" i="3"/>
  <c r="E10" i="3"/>
  <c r="E13" i="3"/>
  <c r="E15" i="3"/>
  <c r="E7" i="3"/>
  <c r="E8" i="3"/>
  <c r="D2" i="3"/>
  <c r="B7" i="3"/>
  <c r="C7" i="3" s="1"/>
  <c r="D19" i="3" l="1"/>
  <c r="D18" i="3"/>
  <c r="D22" i="3"/>
  <c r="D26" i="3"/>
  <c r="D24" i="3"/>
  <c r="D27" i="3"/>
  <c r="D21" i="3"/>
  <c r="D25" i="3"/>
  <c r="D20" i="3"/>
  <c r="D23" i="3"/>
  <c r="D12" i="3"/>
  <c r="D16" i="3"/>
  <c r="D13" i="3"/>
  <c r="D14" i="3"/>
  <c r="D15" i="3"/>
  <c r="D17" i="3"/>
  <c r="D8" i="3"/>
  <c r="D9" i="3"/>
  <c r="D6" i="3"/>
  <c r="F6" i="3" s="1"/>
  <c r="D7" i="3"/>
  <c r="G7" i="3" s="1"/>
  <c r="D11" i="3"/>
  <c r="D10" i="3"/>
  <c r="B8" i="3"/>
  <c r="C8" i="3" s="1"/>
  <c r="F27" i="3" l="1"/>
  <c r="G27" i="3"/>
  <c r="F7" i="3"/>
  <c r="G6" i="3"/>
  <c r="B9" i="3"/>
  <c r="C9" i="3" s="1"/>
  <c r="F8" i="3"/>
  <c r="G8" i="3"/>
  <c r="F9" i="3" l="1"/>
  <c r="B10" i="3"/>
  <c r="C10" i="3" s="1"/>
  <c r="F10" i="3" l="1"/>
  <c r="G9" i="3"/>
  <c r="G10" i="3" l="1"/>
  <c r="B11" i="3"/>
  <c r="C11" i="3" s="1"/>
  <c r="F11" i="3" l="1"/>
  <c r="B12" i="3"/>
  <c r="C12" i="3" l="1"/>
  <c r="F12" i="3"/>
  <c r="G11" i="3"/>
  <c r="G12" i="3" l="1"/>
  <c r="B13" i="3"/>
  <c r="F13" i="3" l="1"/>
  <c r="C13" i="3"/>
  <c r="G13" i="3" l="1"/>
  <c r="B14" i="3"/>
  <c r="C14" i="3" s="1"/>
  <c r="F14" i="3" l="1"/>
  <c r="B15" i="3"/>
  <c r="C15" i="3" s="1"/>
  <c r="G14" i="3"/>
  <c r="G15" i="3" l="1"/>
  <c r="B16" i="3"/>
  <c r="F16" i="3" s="1"/>
  <c r="F15" i="3"/>
  <c r="C16" i="3" l="1"/>
  <c r="G16" i="3" s="1"/>
  <c r="B17" i="3" l="1"/>
  <c r="C17" i="3" l="1"/>
  <c r="B18" i="3" s="1"/>
  <c r="F17" i="3"/>
  <c r="G17" i="3" l="1"/>
  <c r="C18" i="3"/>
  <c r="B19" i="3" s="1"/>
  <c r="F18" i="3"/>
  <c r="F19" i="3" l="1"/>
  <c r="C19" i="3"/>
  <c r="G18" i="3"/>
  <c r="G19" i="3" l="1"/>
  <c r="B20" i="3"/>
  <c r="C20" i="3" s="1"/>
  <c r="B21" i="3" l="1"/>
  <c r="C21" i="3" s="1"/>
  <c r="F20" i="3"/>
  <c r="G20" i="3"/>
  <c r="G21" i="3" l="1"/>
  <c r="F21" i="3"/>
  <c r="B22" i="3"/>
  <c r="C22" i="3" s="1"/>
  <c r="B23" i="3" l="1"/>
  <c r="C23" i="3" s="1"/>
  <c r="F22" i="3"/>
  <c r="G22" i="3"/>
  <c r="G23" i="3" l="1"/>
  <c r="B24" i="3"/>
  <c r="F23" i="3"/>
  <c r="F24" i="3" l="1"/>
  <c r="C24" i="3"/>
  <c r="G24" i="3" l="1"/>
  <c r="B25" i="3"/>
  <c r="C25" i="3" s="1"/>
  <c r="B26" i="3" l="1"/>
  <c r="C26" i="3" s="1"/>
  <c r="F25" i="3"/>
  <c r="G25" i="3"/>
  <c r="G26" i="3" l="1"/>
  <c r="F26" i="3"/>
  <c r="B27" i="3"/>
  <c r="C2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MaxНесогласованность" description="Соединение с запросом &quot;MaxНесогласованность&quot; в книге." type="5" refreshedVersion="7" background="1" saveData="1">
    <dbPr connection="provider=Microsoft.Mashup.OleDb.1;data source=$Workbook$;location=MaxНесогласованность;extended properties=" command="SELECT * FROM [MaxНесогласованность]"/>
  </connection>
  <connection id="2" xr16:uid="{00000000-0015-0000-FFFF-FFFF01000000}" keepAlive="1" name="Запрос — ВесаКритериев" description="Соединение с запросом &quot;ВесаКритериев&quot; в книге." type="5" refreshedVersion="7" background="1" saveData="1">
    <dbPr connection="provider=Microsoft.Mashup.OleDb.1;data source=$Workbook$;location=ВесаКритериев;extended properties=" command="SELECT * FROM [ВесаКритериев]"/>
  </connection>
  <connection id="3" xr16:uid="{00000000-0015-0000-FFFF-FFFF02000000}" keepAlive="1" name="Запрос — КоэффициентСогласованности" description="Соединение с запросом &quot;КоэффициентСогласованности&quot; в книге." type="5" refreshedVersion="7" background="1" saveData="1">
    <dbPr connection="provider=Microsoft.Mashup.OleDb.1;data source=$Workbook$;location=КоэффициентСогласованности;extended properties=" command="SELECT * FROM [КоэффициентСогласованности]"/>
  </connection>
  <connection id="4" xr16:uid="{00000000-0015-0000-FFFF-FFFF03000000}" keepAlive="1" name="Запрос — МатрицаСравнения" description="Соединение с запросом &quot;МатрицаСравнения&quot; в книге." type="5" refreshedVersion="7" background="1" saveData="1">
    <dbPr connection="provider=Microsoft.Mashup.OleDb.1;data source=$Workbook$;location=МатрицаСравнения;extended properties=" command="SELECT * FROM [МатрицаСравнения]"/>
  </connection>
  <connection id="5" xr16:uid="{00000000-0015-0000-FFFF-FFFF04000000}" keepAlive="1" name="Запрос — МатрицаСравненияНормализованная" description="Соединение с запросом &quot;МатрицаСравненияНормализованная&quot; в книге." type="5" refreshedVersion="7" background="1" saveData="1">
    <dbPr connection="provider=Microsoft.Mashup.OleDb.1;data source=$Workbook$;location=МатрицаСравненияНормализованная;extended properties=" command="SELECT * FROM [МатрицаСравненияНормализованная]"/>
  </connection>
  <connection id="6" xr16:uid="{00000000-0015-0000-FFFF-FFFF05000000}" name="Запрос — ПопарноеСравнение" description="Соединение с запросом &quot;ПопарноеСравнение&quot; в книге." type="5" refreshedVersion="0" background="1">
    <dbPr connection="provider=Microsoft.Mashup.OleDb.1;data source=$Workbook$;location=ПопарноеСравнение;extended properties=" command="SELECT * FROM [ПопарноеСравнение]"/>
  </connection>
  <connection id="7" xr16:uid="{00000000-0015-0000-FFFF-FFFF06000000}" name="Запрос — ПопарноеСравнениеВзвешенное" description="Соединение с запросом &quot;ПопарноеСравнениеВзвешенное&quot; в книге." type="5" refreshedVersion="0" background="1">
    <dbPr connection="provider=Microsoft.Mashup.OleDb.1;data source=$Workbook$;location=ПопарноеСравнениеВзвешенное;extended properties=" command="SELECT * FROM [ПопарноеСравнениеВзвешенное]"/>
  </connection>
</connections>
</file>

<file path=xl/sharedStrings.xml><?xml version="1.0" encoding="utf-8"?>
<sst xmlns="http://schemas.openxmlformats.org/spreadsheetml/2006/main" count="127" uniqueCount="58">
  <si>
    <t>Критерий</t>
  </si>
  <si>
    <t>Балл</t>
  </si>
  <si>
    <t>Оценка сравнения</t>
  </si>
  <si>
    <t>Количество критериев:</t>
  </si>
  <si>
    <t>Число сочетаний по 2:</t>
  </si>
  <si>
    <t>Номер строки</t>
  </si>
  <si>
    <t>Левый индекс</t>
  </si>
  <si>
    <t>Есть результат</t>
  </si>
  <si>
    <t>Критерий Левый</t>
  </si>
  <si>
    <t>Коэффициент</t>
  </si>
  <si>
    <t>Правый индекс</t>
  </si>
  <si>
    <t>Важность Левого по сравнению с Правым</t>
  </si>
  <si>
    <t>Служебные поля</t>
  </si>
  <si>
    <t>Автозаполнение</t>
  </si>
  <si>
    <t>Выбор пользователя</t>
  </si>
  <si>
    <t>Критерий Правый</t>
  </si>
  <si>
    <t>Вес критерия</t>
  </si>
  <si>
    <t xml:space="preserve">n   </t>
  </si>
  <si>
    <t xml:space="preserve">RI 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</si>
  <si>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</si>
  <si>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</si>
  <si>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</si>
  <si>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</si>
  <si>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</si>
  <si>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</si>
  <si>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</si>
  <si>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</si>
  <si>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</si>
  <si>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</si>
  <si>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</si>
  <si>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</si>
  <si>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n</t>
  </si>
  <si>
    <t>λ</t>
  </si>
  <si>
    <t>CI</t>
  </si>
  <si>
    <t>RI</t>
  </si>
  <si>
    <t>CR</t>
  </si>
  <si>
    <t>Корректно ли?</t>
  </si>
  <si>
    <t>Выявленные зоны затопления</t>
  </si>
  <si>
    <t>Осадки</t>
  </si>
  <si>
    <t>Высота над ближайшим дренажным каналом</t>
  </si>
  <si>
    <t>Локальные понижения рельефа</t>
  </si>
  <si>
    <t>Проницаемость поверхности земли</t>
  </si>
  <si>
    <t>Крутизна склона</t>
  </si>
  <si>
    <t>Удаленность от водотоков</t>
  </si>
  <si>
    <t>Несоизмеримо менее значимый (1/9)</t>
  </si>
  <si>
    <t>Существенно менее значимый, что подтверждается на практике (1/7)</t>
  </si>
  <si>
    <t>Менее значимый (1/5)</t>
  </si>
  <si>
    <t>Немного менее значимый (1/3)</t>
  </si>
  <si>
    <t>Равнозначны (1)</t>
  </si>
  <si>
    <t>Немного более значимый (3)</t>
  </si>
  <si>
    <t>Более значимый (5)</t>
  </si>
  <si>
    <t>Существенно более значимый, что подтверждается на практике (7)</t>
  </si>
  <si>
    <t>Несоизмеримо более значимый (9)</t>
  </si>
  <si>
    <t>Между «Более значимый (5)» и «Существенно более значимый, что подтверждается на практике (7)» (6)</t>
  </si>
  <si>
    <t>Между «Существенно более значимый, что подтверждается на практике (7)» и «Несоизмеримо более значимый (9)» (8)</t>
  </si>
  <si>
    <t>Между «Немного более значимый (3)» и «Более значимый (5)» (4)</t>
  </si>
  <si>
    <t>Между «Равнозначны (1)» и «Немного более значимый (3)» (2)</t>
  </si>
  <si>
    <t>Между «Немного менее значимый (1/3)» и «Равнозначны (1)» (1/2)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</si>
</sst>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Times New Roman"/>
    </font>
    <font>
      <sz val="12"/>
      <color theme="2" tint="-0.49998474074526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0" tint="-0.1499984740745262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4C4C4C"/>
      <name val="Times New Roman"/>
      <family val="1"/>
      <charset val="204"/>
    </font>
    <font>
      <sz val="11"/>
      <color rgb="FF4C4C4C"/>
      <name val="Times New Roman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quotePrefix="1" applyNumberFormat="1" applyFont="1" applyAlignment="1"/>
    <xf numFmtId="0" fontId="0" fillId="0" borderId="0" xfId="0" quotePrefix="1" applyNumberFormat="1" applyAlignment="1"/>
    <xf numFmtId="0" fontId="5" fillId="0" borderId="0" xfId="0" applyNumberFormat="1" applyFont="1"/>
    <xf numFmtId="0" fontId="2" fillId="0" borderId="0" xfId="0" quotePrefix="1" applyNumberFormat="1" applyFont="1" applyAlignment="1"/>
    <xf numFmtId="0" fontId="2" fillId="0" borderId="0" xfId="0" applyNumberFormat="1" applyFont="1" applyAlignment="1"/>
    <xf numFmtId="0" fontId="7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8" fillId="0" borderId="2" xfId="0" applyFont="1" applyBorder="1"/>
    <xf numFmtId="0" fontId="0" fillId="0" borderId="0" xfId="0" applyNumberFormat="1" applyAlignment="1"/>
  </cellXfs>
  <cellStyles count="1">
    <cellStyle name="Обычный" xfId="0" builtinId="0"/>
  </cellStyles>
  <dxfs count="81">
    <dxf>
      <font>
        <sz val="12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z val="12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z val="12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sz val="12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z val="12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z val="12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2" tint="-0.499984740745262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2" tint="-0.499984740745262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1499984740745262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1499984740745262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1499984740745262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14999847407452621"/>
        <name val="Times New Roman"/>
        <scheme val="none"/>
      </font>
    </dxf>
    <dxf>
      <font>
        <strike val="0"/>
        <outline val="0"/>
        <shadow val="0"/>
        <u val="none"/>
        <vertAlign val="baseline"/>
        <sz val="10"/>
        <color theme="0" tint="-0.1499984740745262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C4C4C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rgb="FF4C4C4C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80"/>
      <tableStyleElement type="headerRow" dxfId="79"/>
      <tableStyleElement type="firstRowStripe" dxfId="78"/>
    </tableStyle>
    <tableStyle name="TableStyleQueryResult" pivot="0" count="3" xr9:uid="{00000000-0011-0000-FFFF-FFFF01000000}">
      <tableStyleElement type="wholeTable" dxfId="77"/>
      <tableStyleElement type="headerRow" dxfId="76"/>
      <tableStyleElement type="firstRowStripe" dxfId="7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200-000000000000}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Критерий" tableColumnId="1"/>
      <queryTableField id="2" name="Вес критерия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300-000001000000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n" tableColumnId="13"/>
      <queryTableField id="2" name="λ" tableColumnId="14"/>
      <queryTableField id="3" name="CI" tableColumnId="15"/>
      <queryTableField id="4" name="RI" tableColumnId="16"/>
      <queryTableField id="5" name="CR" tableColumnId="17"/>
      <queryTableField id="6" name="Корректно ли?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400-000002000000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Критерий Левый" tableColumnId="3"/>
      <queryTableField id="2" name="Высота над ближайшим дренажным каналом" tableColumnId="4"/>
      <queryTableField id="3" name="Выявленные зоны затопления" tableColumnId="5"/>
      <queryTableField id="4" name="Крутизна склона" tableColumnId="6"/>
      <queryTableField id="5" name="Локальные понижения рельефа" tableColumnId="7"/>
      <queryTableField id="6" name="Осадки" tableColumnId="8"/>
      <queryTableField id="7" name="Проницаемость поверхности земли" tableColumnId="9"/>
      <queryTableField id="8" name="Удаленность от водотоков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500-000003000000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Критерий Левый" tableColumnId="9"/>
      <queryTableField id="2" name="Высота над ближайшим дренажным каналом" tableColumnId="10"/>
      <queryTableField id="3" name="Выявленные зоны затопления" tableColumnId="11"/>
      <queryTableField id="4" name="Крутизна склона" tableColumnId="12"/>
      <queryTableField id="5" name="Локальные понижения рельефа" tableColumnId="13"/>
      <queryTableField id="6" name="Осадки" tableColumnId="14"/>
      <queryTableField id="7" name="Проницаемость поверхности земли" tableColumnId="15"/>
      <queryTableField id="8" name="Удаленность от водотоков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600-000004000000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Критерий Левый" tableColumnId="4"/>
      <queryTableField id="2" name="Высота над ближайшим дренажным каналом" tableColumnId="5"/>
      <queryTableField id="3" name="Выявленные зоны затопления" tableColumnId="6"/>
      <queryTableField id="4" name="Крутизна склона" tableColumnId="7"/>
      <queryTableField id="5" name="Локальные понижения рельефа" tableColumnId="8"/>
      <queryTableField id="6" name="Осадки" tableColumnId="9"/>
      <queryTableField id="7" name="Проницаемость поверхности земли" tableColumnId="10"/>
      <queryTableField id="8" name="Удаленность от водотоков" tableColumnId="1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A8" totalsRowShown="0" headerRowDxfId="74" dataDxfId="73">
  <autoFilter ref="A1:A8" xr:uid="{00000000-0009-0000-0100-000001000000}"/>
  <tableColumns count="1">
    <tableColumn id="1" xr3:uid="{00000000-0010-0000-0000-000001000000}" name="Критерий" dataDxfId="7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СравнениеКритериев" displayName="СравнениеКритериев" ref="A5:H27" totalsRowShown="0" headerRowDxfId="71" dataDxfId="70">
  <autoFilter ref="A5:H27" xr:uid="{00000000-0009-0000-0100-000003000000}"/>
  <tableColumns count="8">
    <tableColumn id="1" xr3:uid="{00000000-0010-0000-0100-000001000000}" name="Номер строки" dataDxfId="69">
      <calculatedColumnFormula>ROW()-ROW($A$5)</calculatedColumnFormula>
    </tableColumn>
    <tableColumn id="2" xr3:uid="{00000000-0010-0000-0100-000002000000}" name="Левый индекс" dataDxfId="68">
      <calculatedColumnFormula>IF(B5=СравнениеКритериев[[#Headers],[Левый индекс]],1,IF(C5&lt;$D$1,B5,B5+1))</calculatedColumnFormula>
    </tableColumn>
    <tableColumn id="3" xr3:uid="{00000000-0010-0000-0100-000003000000}" name="Правый индекс" dataDxfId="67">
      <calculatedColumnFormula>IF(C5=СравнениеКритериев[[#Headers],[Правый индекс]],2,IF(C5&lt;$D$1,C5+1,B6+1))</calculatedColumnFormula>
    </tableColumn>
    <tableColumn id="4" xr3:uid="{00000000-0010-0000-0100-000004000000}" name="Есть результат" dataDxfId="66">
      <calculatedColumnFormula>AND(СравнениеКритериев[[#This Row],[Номер строки]]&lt;&gt;0,СравнениеКритериев[[#This Row],[Номер строки]]&lt;=$D$2)</calculatedColumnFormula>
    </tableColumn>
    <tableColumn id="9" xr3:uid="{00000000-0010-0000-0100-000009000000}" name="Коэффициент" dataDxfId="36">
      <calculatedColumnFormula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calculatedColumnFormula>
    </tableColumn>
    <tableColumn id="5" xr3:uid="{00000000-0010-0000-0100-000005000000}" name="Критерий Левый" dataDxfId="35">
      <calculatedColumnFormula>IF($D6,INDEX(Таблица1[Критерий],B6,COLUMN(Таблица1[[#Headers],[Критерий]])),"")</calculatedColumnFormula>
    </tableColumn>
    <tableColumn id="6" xr3:uid="{00000000-0010-0000-0100-000006000000}" name="Критерий Правый" dataDxfId="33">
      <calculatedColumnFormula>IF($D6,INDEX(Таблица1[Критерий],C6,COLUMN(Таблица1[[#Headers],[Критерий]])),"")</calculatedColumnFormula>
    </tableColumn>
    <tableColumn id="7" xr3:uid="{00000000-0010-0000-0100-000007000000}" name="Важность Левого по сравнению с Правым" dataDxfId="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ВесаКритериев" displayName="ВесаКритериев" ref="A1:B8" tableType="queryTable" totalsRowShown="0" headerRowDxfId="65" dataDxfId="64">
  <autoFilter ref="A1:B8" xr:uid="{00000000-000C-0000-FFFF-FFFF02000000}"/>
  <tableColumns count="2">
    <tableColumn id="1" xr3:uid="{15365B1F-DA62-4D1A-B3B3-972F8720FC9A}" uniqueName="1" name="Критерий" queryTableFieldId="1" dataDxfId="32"/>
    <tableColumn id="2" xr3:uid="{4074AFDC-789A-427F-AF32-A018F4C58BEC}" uniqueName="2" name="Вес критерия" queryTableFieldId="2" dataDxfId="31"/>
  </tableColumns>
  <tableStyleInfo name="TableStyleQueryResul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КоэффициентСогласованности" displayName="КоэффициентСогласованности" ref="A1:F2" tableType="queryTable" totalsRowShown="0" headerRowDxfId="63" dataDxfId="62">
  <autoFilter ref="A1:F2" xr:uid="{00000000-000C-0000-FFFF-FFFF03000000}"/>
  <tableColumns count="6">
    <tableColumn id="13" xr3:uid="{90D41842-D208-4A71-870A-9C08BEEFB17E}" uniqueName="13" name="n" queryTableFieldId="1" dataDxfId="22"/>
    <tableColumn id="14" xr3:uid="{AD41FFC8-9E53-4924-9C64-C6CA2D407391}" uniqueName="14" name="λ" queryTableFieldId="2" dataDxfId="21"/>
    <tableColumn id="15" xr3:uid="{EB302914-C289-4861-BE8E-EDB29BF9F87B}" uniqueName="15" name="CI" queryTableFieldId="3" dataDxfId="20"/>
    <tableColumn id="16" xr3:uid="{5DA20212-C8BB-42B9-9124-04C91D5E5A43}" uniqueName="16" name="RI" queryTableFieldId="4" dataDxfId="19"/>
    <tableColumn id="17" xr3:uid="{C8B7DBD3-7A54-477A-9BB5-046E8F3823EA}" uniqueName="17" name="CR" queryTableFieldId="5" dataDxfId="18"/>
    <tableColumn id="18" xr3:uid="{970BBCA9-ED99-401A-B0FA-C36232E81813}" uniqueName="18" name="Корректно ли?" queryTableFieldId="6" dataDxfId="17"/>
  </tableColumns>
  <tableStyleInfo name="TableStyleQueryResul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MaxНесогласованность" displayName="MaxНесогласованность" ref="A1:H8" tableType="queryTable" totalsRowShown="0" headerRowDxfId="61" dataDxfId="60">
  <autoFilter ref="A1:H8" xr:uid="{00000000-000C-0000-FFFF-FFFF04000000}"/>
  <tableColumns count="8">
    <tableColumn id="3" xr3:uid="{27F434C3-188C-42D1-9742-F35CB71737E2}" uniqueName="3" name="Критерий Левый" queryTableFieldId="1" dataDxfId="16"/>
    <tableColumn id="4" xr3:uid="{BC93CDFE-50EA-4128-9BBD-5C5F1E49005E}" uniqueName="4" name="Высота над ближайшим дренажным каналом" queryTableFieldId="2" dataDxfId="15"/>
    <tableColumn id="5" xr3:uid="{E405FA5E-E47F-430F-9FA5-6EF02AFD1EB6}" uniqueName="5" name="Выявленные зоны затопления" queryTableFieldId="3" dataDxfId="14"/>
    <tableColumn id="6" xr3:uid="{B6CA9A19-17E6-4621-B37B-0B2FBA7AF808}" uniqueName="6" name="Крутизна склона" queryTableFieldId="4" dataDxfId="13"/>
    <tableColumn id="7" xr3:uid="{69946B3B-E469-4A5E-9883-24B83DF5E150}" uniqueName="7" name="Локальные понижения рельефа" queryTableFieldId="5" dataDxfId="12"/>
    <tableColumn id="8" xr3:uid="{1B314A1A-689D-4DD0-A331-457BE92862E7}" uniqueName="8" name="Осадки" queryTableFieldId="6" dataDxfId="11"/>
    <tableColumn id="9" xr3:uid="{F56CEA9B-1FE1-42E0-8D9D-60A28C2F1675}" uniqueName="9" name="Проницаемость поверхности земли" queryTableFieldId="7" dataDxfId="10"/>
    <tableColumn id="10" xr3:uid="{44692783-CB94-421A-8327-8A373EEC6542}" uniqueName="10" name="Удаленность от водотоков" queryTableFieldId="8" dataDxfId="9"/>
  </tableColumns>
  <tableStyleInfo name="TableStyleQueryResul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МатрицаСравнения" displayName="МатрицаСравнения" ref="A1:H8" tableType="queryTable" totalsRowShown="0" headerRowDxfId="59" dataDxfId="58">
  <autoFilter ref="A1:H8" xr:uid="{00000000-000C-0000-FFFF-FFFF05000000}"/>
  <tableColumns count="8">
    <tableColumn id="9" xr3:uid="{CE36EA71-2409-4C27-9A49-D8D6171C9638}" uniqueName="9" name="Критерий Левый" queryTableFieldId="1" dataDxfId="30"/>
    <tableColumn id="10" xr3:uid="{B3829072-4F2F-4916-91BE-EC1C90471309}" uniqueName="10" name="Высота над ближайшим дренажным каналом" queryTableFieldId="2" dataDxfId="29"/>
    <tableColumn id="11" xr3:uid="{84E29CF4-1779-4B70-9E59-42B784F36F9F}" uniqueName="11" name="Выявленные зоны затопления" queryTableFieldId="3" dataDxfId="28"/>
    <tableColumn id="12" xr3:uid="{C0749DEF-1D55-4C78-B5B3-8C96C4DB2161}" uniqueName="12" name="Крутизна склона" queryTableFieldId="4" dataDxfId="27"/>
    <tableColumn id="13" xr3:uid="{8B617F11-9B73-4597-A4AA-55425F51F845}" uniqueName="13" name="Локальные понижения рельефа" queryTableFieldId="5" dataDxfId="26"/>
    <tableColumn id="14" xr3:uid="{56C79035-606D-45E1-8C89-809D485B20ED}" uniqueName="14" name="Осадки" queryTableFieldId="6" dataDxfId="25"/>
    <tableColumn id="15" xr3:uid="{3DAE4425-827A-4EDF-B6DE-DC2E2B962097}" uniqueName="15" name="Проницаемость поверхности земли" queryTableFieldId="7" dataDxfId="24"/>
    <tableColumn id="16" xr3:uid="{F10CC753-4A87-41F7-821D-6164E7BE40DF}" uniqueName="16" name="Удаленность от водотоков" queryTableFieldId="8" dataDxfId="23"/>
  </tableColumns>
  <tableStyleInfo name="TableStyleQueryResul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МатрицаСравненияНормализованная" displayName="МатрицаСравненияНормализованная" ref="A1:H8" tableType="queryTable" totalsRowShown="0" headerRowDxfId="57" dataDxfId="56">
  <autoFilter ref="A1:H8" xr:uid="{00000000-000C-0000-FFFF-FFFF06000000}"/>
  <tableColumns count="8">
    <tableColumn id="4" xr3:uid="{3E1F74EF-A510-4EEA-844F-1236FA07ADDC}" uniqueName="4" name="Критерий Левый" queryTableFieldId="1" dataDxfId="7"/>
    <tableColumn id="5" xr3:uid="{2EA9DB33-ABDD-4D00-93C5-FDE25C7AA771}" uniqueName="5" name="Высота над ближайшим дренажным каналом" queryTableFieldId="2" dataDxfId="6"/>
    <tableColumn id="6" xr3:uid="{94A354C3-F1A4-46A3-8AEF-E70A10A56320}" uniqueName="6" name="Выявленные зоны затопления" queryTableFieldId="3" dataDxfId="5"/>
    <tableColumn id="7" xr3:uid="{FD32790B-67B7-4951-91BD-078709DFB25E}" uniqueName="7" name="Крутизна склона" queryTableFieldId="4" dataDxfId="4"/>
    <tableColumn id="8" xr3:uid="{87DEA662-A4E9-42E4-80CE-62179187C4EF}" uniqueName="8" name="Локальные понижения рельефа" queryTableFieldId="5" dataDxfId="3"/>
    <tableColumn id="9" xr3:uid="{C1AA4A07-166C-47EE-9D0F-185D5059B01E}" uniqueName="9" name="Осадки" queryTableFieldId="6" dataDxfId="2"/>
    <tableColumn id="10" xr3:uid="{C9C30B25-D462-4B6B-8BFB-F7683E3F3C31}" uniqueName="10" name="Проницаемость поверхности земли" queryTableFieldId="7" dataDxfId="1"/>
    <tableColumn id="11" xr3:uid="{48BD8D56-3A59-4982-AE1A-958C45219534}" uniqueName="11" name="Удаленность от водотоков" queryTableFieldId="8" dataDxfId="0"/>
  </tableColumns>
  <tableStyleInfo name="TableStyleQueryResul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Таблица2" displayName="Таблица2" ref="A1:B18" totalsRowShown="0" headerRowDxfId="55" dataDxfId="54">
  <autoFilter ref="A1:B18" xr:uid="{00000000-0009-0000-0100-000002000000}"/>
  <tableColumns count="2">
    <tableColumn id="2" xr3:uid="{00000000-0010-0000-0700-000002000000}" name="Оценка сравнения" dataDxfId="53"/>
    <tableColumn id="1" xr3:uid="{00000000-0010-0000-0700-000001000000}" name="Балл" dataDxfId="52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ИндексCлучайности" displayName="ИндексCлучайности" ref="A1:M2" totalsRowShown="0" headerRowDxfId="51" dataDxfId="50">
  <autoFilter ref="A1:M2" xr:uid="{00000000-0009-0000-0100-000007000000}"/>
  <tableColumns count="13">
    <tableColumn id="1" xr3:uid="{00000000-0010-0000-0800-000001000000}" name="n   " dataDxfId="49"/>
    <tableColumn id="2" xr3:uid="{00000000-0010-0000-0800-000002000000}" name="1" dataDxfId="48"/>
    <tableColumn id="3" xr3:uid="{00000000-0010-0000-0800-000003000000}" name="2" dataDxfId="47"/>
    <tableColumn id="4" xr3:uid="{00000000-0010-0000-0800-000004000000}" name="3" dataDxfId="46"/>
    <tableColumn id="5" xr3:uid="{00000000-0010-0000-0800-000005000000}" name="4" dataDxfId="45"/>
    <tableColumn id="6" xr3:uid="{00000000-0010-0000-0800-000006000000}" name="5" dataDxfId="44"/>
    <tableColumn id="7" xr3:uid="{00000000-0010-0000-0800-000007000000}" name="6" dataDxfId="43"/>
    <tableColumn id="8" xr3:uid="{00000000-0010-0000-0800-000008000000}" name="7" dataDxfId="42"/>
    <tableColumn id="9" xr3:uid="{00000000-0010-0000-0800-000009000000}" name="8" dataDxfId="41"/>
    <tableColumn id="10" xr3:uid="{00000000-0010-0000-0800-00000A000000}" name="9" dataDxfId="40"/>
    <tableColumn id="11" xr3:uid="{00000000-0010-0000-0800-00000B000000}" name="10" dataDxfId="39"/>
    <tableColumn id="12" xr3:uid="{00000000-0010-0000-0800-00000C000000}" name="11" dataDxfId="38"/>
    <tableColumn id="13" xr3:uid="{00000000-0010-0000-0800-00000D000000}" name="12" dataDxfId="37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2" sqref="A2"/>
    </sheetView>
  </sheetViews>
  <sheetFormatPr defaultRowHeight="15.75" x14ac:dyDescent="0.25"/>
  <cols>
    <col min="1" max="1" width="46.5703125" style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3" t="s">
        <v>37</v>
      </c>
    </row>
    <row r="3" spans="1:1" x14ac:dyDescent="0.25">
      <c r="A3" s="16" t="s">
        <v>40</v>
      </c>
    </row>
    <row r="4" spans="1:1" x14ac:dyDescent="0.25">
      <c r="A4" s="17" t="s">
        <v>42</v>
      </c>
    </row>
    <row r="5" spans="1:1" x14ac:dyDescent="0.25">
      <c r="A5" s="16" t="s">
        <v>41</v>
      </c>
    </row>
    <row r="6" spans="1:1" x14ac:dyDescent="0.25">
      <c r="A6" s="18" t="s">
        <v>43</v>
      </c>
    </row>
    <row r="7" spans="1:1" x14ac:dyDescent="0.25">
      <c r="A7" s="16" t="s">
        <v>38</v>
      </c>
    </row>
    <row r="8" spans="1:1" x14ac:dyDescent="0.25">
      <c r="A8" s="16" t="s">
        <v>39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F8" sqref="F8"/>
    </sheetView>
  </sheetViews>
  <sheetFormatPr defaultRowHeight="15.75" x14ac:dyDescent="0.25"/>
  <cols>
    <col min="1" max="1" width="9" style="1" customWidth="1"/>
    <col min="2" max="2" width="9.140625" style="1"/>
    <col min="3" max="3" width="10.140625" style="1" customWidth="1"/>
    <col min="4" max="5" width="13.85546875" style="1" customWidth="1"/>
    <col min="6" max="7" width="20.140625" style="1" customWidth="1"/>
    <col min="8" max="8" width="56.85546875" style="1" customWidth="1"/>
    <col min="9" max="16384" width="9.140625" style="1"/>
  </cols>
  <sheetData>
    <row r="1" spans="1:8" x14ac:dyDescent="0.25">
      <c r="A1" s="1" t="s">
        <v>3</v>
      </c>
      <c r="D1" s="1">
        <f>COUNTA(Таблица1[Критерий])</f>
        <v>7</v>
      </c>
    </row>
    <row r="2" spans="1:8" x14ac:dyDescent="0.25">
      <c r="A2" s="1" t="s">
        <v>4</v>
      </c>
      <c r="D2" s="1">
        <f>D1*(D1-1)/2</f>
        <v>21</v>
      </c>
    </row>
    <row r="4" spans="1:8" x14ac:dyDescent="0.25">
      <c r="A4" s="14" t="s">
        <v>12</v>
      </c>
      <c r="B4" s="14"/>
      <c r="C4" s="14"/>
      <c r="D4" s="14"/>
      <c r="E4" s="14"/>
      <c r="F4" s="14" t="s">
        <v>13</v>
      </c>
      <c r="G4" s="14"/>
      <c r="H4" s="6" t="s">
        <v>14</v>
      </c>
    </row>
    <row r="5" spans="1:8" ht="31.5" x14ac:dyDescent="0.25">
      <c r="A5" s="4" t="s">
        <v>5</v>
      </c>
      <c r="B5" s="4" t="s">
        <v>6</v>
      </c>
      <c r="C5" s="4" t="s">
        <v>10</v>
      </c>
      <c r="D5" s="4" t="s">
        <v>7</v>
      </c>
      <c r="E5" s="4" t="s">
        <v>9</v>
      </c>
      <c r="F5" s="2" t="s">
        <v>8</v>
      </c>
      <c r="G5" s="2" t="s">
        <v>15</v>
      </c>
      <c r="H5" s="2" t="s">
        <v>11</v>
      </c>
    </row>
    <row r="6" spans="1:8" ht="47.25" x14ac:dyDescent="0.25">
      <c r="A6" s="5">
        <f>ROW()-ROW($A$5)</f>
        <v>1</v>
      </c>
      <c r="B6" s="5">
        <f>IF(B5=СравнениеКритериев[[#Headers],[Левый индекс]],1,IF(C5&lt;$D$1,B5,B5+1))</f>
        <v>1</v>
      </c>
      <c r="C6" s="5">
        <f>IF(C5=СравнениеКритериев[[#Headers],[Правый индекс]],2,IF(C5&lt;$D$1,C5+1,B6+1))</f>
        <v>2</v>
      </c>
      <c r="D6" s="5" t="b">
        <f>AND(СравнениеКритериев[[#This Row],[Номер строки]]&lt;&gt;0,СравнениеКритериев[[#This Row],[Номер строки]]&lt;=$D$2)</f>
        <v>1</v>
      </c>
      <c r="E6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9</v>
      </c>
      <c r="F6" s="15" t="str">
        <f>IF($D6,INDEX(Таблица1[Критерий],B6,COLUMN(Таблица1[[#Headers],[Критерий]])),"")</f>
        <v>Выявленные зоны затопления</v>
      </c>
      <c r="G6" s="15" t="str">
        <f>IF($D6,INDEX(Таблица1[Критерий],C6,COLUMN(Таблица1[[#Headers],[Критерий]])),"")</f>
        <v>Локальные понижения рельефа</v>
      </c>
      <c r="H6" s="3" t="s">
        <v>52</v>
      </c>
    </row>
    <row r="7" spans="1:8" ht="31.5" x14ac:dyDescent="0.25">
      <c r="A7" s="5">
        <f t="shared" ref="A7:A12" si="0">ROW()-ROW($A$5)</f>
        <v>2</v>
      </c>
      <c r="B7" s="5">
        <f>IF(B6=СравнениеКритериев[[#Headers],[Левый индекс]],1,IF(C6&lt;$D$1,B6,B6+1))</f>
        <v>1</v>
      </c>
      <c r="C7" s="5">
        <f>IF(C6=СравнениеКритериев[[#Headers],[Правый индекс]],2,IF(C6&lt;$D$1,C6+1,B7+1))</f>
        <v>3</v>
      </c>
      <c r="D7" s="5" t="b">
        <f>AND(СравнениеКритериев[[#This Row],[Номер строки]]&lt;&gt;0,СравнениеКритериев[[#This Row],[Номер строки]]&lt;=$D$2)</f>
        <v>1</v>
      </c>
      <c r="E7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7</v>
      </c>
      <c r="F7" s="15" t="str">
        <f>IF($D7,INDEX(Таблица1[Критерий],B7,COLUMN(Таблица1[[#Headers],[Критерий]])),"")</f>
        <v>Выявленные зоны затопления</v>
      </c>
      <c r="G7" s="15" t="str">
        <f>IF($D7,INDEX(Таблица1[Критерий],C7,COLUMN(Таблица1[[#Headers],[Критерий]])),"")</f>
        <v>Крутизна склона</v>
      </c>
      <c r="H7" s="3" t="s">
        <v>51</v>
      </c>
    </row>
    <row r="8" spans="1:8" ht="31.5" x14ac:dyDescent="0.25">
      <c r="A8" s="5">
        <f t="shared" si="0"/>
        <v>3</v>
      </c>
      <c r="B8" s="5">
        <f>IF(B7=СравнениеКритериев[[#Headers],[Левый индекс]],1,IF(C7&lt;$D$1,B7,B7+1))</f>
        <v>1</v>
      </c>
      <c r="C8" s="5">
        <f>IF(C7=СравнениеКритериев[[#Headers],[Правый индекс]],2,IF(C7&lt;$D$1,C7+1,B8+1))</f>
        <v>4</v>
      </c>
      <c r="D8" s="5" t="b">
        <f>AND(СравнениеКритериев[[#This Row],[Номер строки]]&lt;&gt;0,СравнениеКритериев[[#This Row],[Номер строки]]&lt;=$D$2)</f>
        <v>1</v>
      </c>
      <c r="E8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6</v>
      </c>
      <c r="F8" s="15" t="str">
        <f>IF($D8,INDEX(Таблица1[Критерий],B8,COLUMN(Таблица1[[#Headers],[Критерий]])),"")</f>
        <v>Выявленные зоны затопления</v>
      </c>
      <c r="G8" s="15" t="str">
        <f>IF($D8,INDEX(Таблица1[Критерий],C8,COLUMN(Таблица1[[#Headers],[Критерий]])),"")</f>
        <v>Проницаемость поверхности земли</v>
      </c>
      <c r="H8" s="3" t="s">
        <v>53</v>
      </c>
    </row>
    <row r="9" spans="1:8" ht="31.5" x14ac:dyDescent="0.25">
      <c r="A9" s="5">
        <f t="shared" si="0"/>
        <v>4</v>
      </c>
      <c r="B9" s="5">
        <f>IF(B8=СравнениеКритериев[[#Headers],[Левый индекс]],1,IF(C8&lt;$D$1,B8,B8+1))</f>
        <v>1</v>
      </c>
      <c r="C9" s="5">
        <f>IF(C8=СравнениеКритериев[[#Headers],[Правый индекс]],2,IF(C8&lt;$D$1,C8+1,B9+1))</f>
        <v>5</v>
      </c>
      <c r="D9" s="5" t="b">
        <f>AND(СравнениеКритериев[[#This Row],[Номер строки]]&lt;&gt;0,СравнениеКритериев[[#This Row],[Номер строки]]&lt;=$D$2)</f>
        <v>1</v>
      </c>
      <c r="E9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7</v>
      </c>
      <c r="F9" s="15" t="str">
        <f>IF($D9,INDEX(Таблица1[Критерий],B9,COLUMN(Таблица1[[#Headers],[Критерий]])),"")</f>
        <v>Выявленные зоны затопления</v>
      </c>
      <c r="G9" s="15" t="str">
        <f>IF($D9,INDEX(Таблица1[Критерий],C9,COLUMN(Таблица1[[#Headers],[Критерий]])),"")</f>
        <v>Удаленность от водотоков</v>
      </c>
      <c r="H9" s="3" t="s">
        <v>51</v>
      </c>
    </row>
    <row r="10" spans="1:8" ht="31.5" x14ac:dyDescent="0.25">
      <c r="A10" s="5">
        <f t="shared" si="0"/>
        <v>5</v>
      </c>
      <c r="B10" s="5">
        <f>IF(B9=СравнениеКритериев[[#Headers],[Левый индекс]],1,IF(C9&lt;$D$1,B9,B9+1))</f>
        <v>1</v>
      </c>
      <c r="C10" s="5">
        <f>IF(C9=СравнениеКритериев[[#Headers],[Правый индекс]],2,IF(C9&lt;$D$1,C9+1,B10+1))</f>
        <v>6</v>
      </c>
      <c r="D10" s="5" t="b">
        <f>AND(СравнениеКритериев[[#This Row],[Номер строки]]&lt;&gt;0,СравнениеКритериев[[#This Row],[Номер строки]]&lt;=$D$2)</f>
        <v>1</v>
      </c>
      <c r="E10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5</v>
      </c>
      <c r="F10" s="15" t="str">
        <f>IF($D10,INDEX(Таблица1[Критерий],B10,COLUMN(Таблица1[[#Headers],[Критерий]])),"")</f>
        <v>Выявленные зоны затопления</v>
      </c>
      <c r="G10" s="15" t="str">
        <f>IF($D10,INDEX(Таблица1[Критерий],C10,COLUMN(Таблица1[[#Headers],[Критерий]])),"")</f>
        <v>Осадки</v>
      </c>
      <c r="H10" s="3" t="s">
        <v>50</v>
      </c>
    </row>
    <row r="11" spans="1:8" ht="63" x14ac:dyDescent="0.25">
      <c r="A11" s="5">
        <f t="shared" si="0"/>
        <v>6</v>
      </c>
      <c r="B11" s="5">
        <f>IF(B10=СравнениеКритериев[[#Headers],[Левый индекс]],1,IF(C10&lt;$D$1,B10,B10+1))</f>
        <v>1</v>
      </c>
      <c r="C11" s="5">
        <f>IF(C10=СравнениеКритериев[[#Headers],[Правый индекс]],2,IF(C10&lt;$D$1,C10+1,B11+1))</f>
        <v>7</v>
      </c>
      <c r="D11" s="5" t="b">
        <f>AND(СравнениеКритериев[[#This Row],[Номер строки]]&lt;&gt;0,СравнениеКритериев[[#This Row],[Номер строки]]&lt;=$D$2)</f>
        <v>1</v>
      </c>
      <c r="E11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8</v>
      </c>
      <c r="F11" s="15" t="str">
        <f>IF($D11,INDEX(Таблица1[Критерий],B11,COLUMN(Таблица1[[#Headers],[Критерий]])),"")</f>
        <v>Выявленные зоны затопления</v>
      </c>
      <c r="G11" s="15" t="str">
        <f>IF($D11,INDEX(Таблица1[Критерий],C11,COLUMN(Таблица1[[#Headers],[Критерий]])),"")</f>
        <v>Высота над ближайшим дренажным каналом</v>
      </c>
      <c r="H11" s="3" t="s">
        <v>54</v>
      </c>
    </row>
    <row r="12" spans="1:8" ht="47.25" x14ac:dyDescent="0.25">
      <c r="A12" s="5">
        <f t="shared" si="0"/>
        <v>7</v>
      </c>
      <c r="B12" s="5">
        <f>IF(B11=СравнениеКритериев[[#Headers],[Левый индекс]],1,IF(C11&lt;$D$1,B11,B11+1))</f>
        <v>2</v>
      </c>
      <c r="C12" s="5">
        <f>IF(C11=СравнениеКритериев[[#Headers],[Правый индекс]],2,IF(C11&lt;$D$1,C11+1,B12+1))</f>
        <v>3</v>
      </c>
      <c r="D12" s="5" t="b">
        <f>AND(СравнениеКритериев[[#This Row],[Номер строки]]&lt;&gt;0,СравнениеКритериев[[#This Row],[Номер строки]]&lt;=$D$2)</f>
        <v>1</v>
      </c>
      <c r="E12" s="5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3</v>
      </c>
      <c r="F12" s="15" t="str">
        <f>IF($D12,INDEX(Таблица1[Критерий],B12,COLUMN(Таблица1[[#Headers],[Критерий]])),"")</f>
        <v>Локальные понижения рельефа</v>
      </c>
      <c r="G12" s="15" t="str">
        <f>IF($D12,INDEX(Таблица1[Критерий],C12,COLUMN(Таблица1[[#Headers],[Критерий]])),"")</f>
        <v>Крутизна склона</v>
      </c>
      <c r="H12" s="3" t="s">
        <v>49</v>
      </c>
    </row>
    <row r="13" spans="1:8" ht="47.25" x14ac:dyDescent="0.25">
      <c r="A13" s="5">
        <f t="shared" ref="A13:A14" si="1">ROW()-ROW($A$5)</f>
        <v>8</v>
      </c>
      <c r="B13" s="5">
        <f>IF(B12=СравнениеКритериев[[#Headers],[Левый индекс]],1,IF(C12&lt;$D$1,B12,B12+1))</f>
        <v>2</v>
      </c>
      <c r="C13" s="10">
        <f>IF(C12=СравнениеКритериев[[#Headers],[Правый индекс]],2,IF(C12&lt;$D$1,C12+1,B13+1))</f>
        <v>4</v>
      </c>
      <c r="D13" s="10" t="b">
        <f>AND(СравнениеКритериев[[#This Row],[Номер строки]]&lt;&gt;0,СравнениеКритериев[[#This Row],[Номер строки]]&lt;=$D$2)</f>
        <v>1</v>
      </c>
      <c r="E13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4</v>
      </c>
      <c r="F13" s="15" t="str">
        <f>IF($D13,INDEX(Таблица1[Критерий],B13,COLUMN(Таблица1[[#Headers],[Критерий]])),"")</f>
        <v>Локальные понижения рельефа</v>
      </c>
      <c r="G13" s="15" t="str">
        <f>IF($D13,INDEX(Таблица1[Критерий],C13,COLUMN(Таблица1[[#Headers],[Критерий]])),"")</f>
        <v>Проницаемость поверхности земли</v>
      </c>
      <c r="H13" s="3" t="s">
        <v>55</v>
      </c>
    </row>
    <row r="14" spans="1:8" ht="47.25" x14ac:dyDescent="0.25">
      <c r="A14" s="5">
        <f t="shared" si="1"/>
        <v>9</v>
      </c>
      <c r="B14" s="5">
        <f>IF(B13=СравнениеКритериев[[#Headers],[Левый индекс]],1,IF(C13&lt;$D$1,B13,B13+1))</f>
        <v>2</v>
      </c>
      <c r="C14" s="10">
        <f>IF(C13=СравнениеКритериев[[#Headers],[Правый индекс]],2,IF(C13&lt;$D$1,C13+1,B14+1))</f>
        <v>5</v>
      </c>
      <c r="D14" s="10" t="b">
        <f>AND(СравнениеКритериев[[#This Row],[Номер строки]]&lt;&gt;0,СравнениеКритериев[[#This Row],[Номер строки]]&lt;=$D$2)</f>
        <v>1</v>
      </c>
      <c r="E14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5</v>
      </c>
      <c r="F14" s="15" t="str">
        <f>IF($D14,INDEX(Таблица1[Критерий],B14,COLUMN(Таблица1[[#Headers],[Критерий]])),"")</f>
        <v>Локальные понижения рельефа</v>
      </c>
      <c r="G14" s="15" t="str">
        <f>IF($D14,INDEX(Таблица1[Критерий],C14,COLUMN(Таблица1[[#Headers],[Критерий]])),"")</f>
        <v>Удаленность от водотоков</v>
      </c>
      <c r="H14" s="3" t="s">
        <v>50</v>
      </c>
    </row>
    <row r="15" spans="1:8" ht="47.25" x14ac:dyDescent="0.25">
      <c r="A15" s="5">
        <f t="shared" ref="A15:A27" si="2">ROW()-ROW($A$5)</f>
        <v>10</v>
      </c>
      <c r="B15" s="5">
        <f>IF(B14=СравнениеКритериев[[#Headers],[Левый индекс]],1,IF(C14&lt;$D$1,B14,B14+1))</f>
        <v>2</v>
      </c>
      <c r="C15" s="10">
        <f>IF(C14=СравнениеКритериев[[#Headers],[Правый индекс]],2,IF(C14&lt;$D$1,C14+1,B15+1))</f>
        <v>6</v>
      </c>
      <c r="D15" s="10" t="b">
        <f>AND(СравнениеКритериев[[#This Row],[Номер строки]]&lt;&gt;0,СравнениеКритериев[[#This Row],[Номер строки]]&lt;=$D$2)</f>
        <v>1</v>
      </c>
      <c r="E15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3</v>
      </c>
      <c r="F15" s="15" t="str">
        <f>IF($D15,INDEX(Таблица1[Критерий],B15,COLUMN(Таблица1[[#Headers],[Критерий]])),"")</f>
        <v>Локальные понижения рельефа</v>
      </c>
      <c r="G15" s="15" t="str">
        <f>IF($D15,INDEX(Таблица1[Критерий],C15,COLUMN(Таблица1[[#Headers],[Критерий]])),"")</f>
        <v>Осадки</v>
      </c>
      <c r="H15" s="3" t="s">
        <v>49</v>
      </c>
    </row>
    <row r="16" spans="1:8" ht="63" x14ac:dyDescent="0.25">
      <c r="A16" s="5">
        <f t="shared" si="2"/>
        <v>11</v>
      </c>
      <c r="B16" s="5">
        <f>IF(B15=СравнениеКритериев[[#Headers],[Левый индекс]],1,IF(C15&lt;$D$1,B15,B15+1))</f>
        <v>2</v>
      </c>
      <c r="C16" s="10">
        <f>IF(C15=СравнениеКритериев[[#Headers],[Правый индекс]],2,IF(C15&lt;$D$1,C15+1,B16+1))</f>
        <v>7</v>
      </c>
      <c r="D16" s="10" t="b">
        <f>AND(СравнениеКритериев[[#This Row],[Номер строки]]&lt;&gt;0,СравнениеКритериев[[#This Row],[Номер строки]]&lt;=$D$2)</f>
        <v>1</v>
      </c>
      <c r="E16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2</v>
      </c>
      <c r="F16" s="15" t="str">
        <f>IF($D16,INDEX(Таблица1[Критерий],B16,COLUMN(Таблица1[[#Headers],[Критерий]])),"")</f>
        <v>Локальные понижения рельефа</v>
      </c>
      <c r="G16" s="15" t="str">
        <f>IF($D16,INDEX(Таблица1[Критерий],C16,COLUMN(Таблица1[[#Headers],[Критерий]])),"")</f>
        <v>Высота над ближайшим дренажным каналом</v>
      </c>
      <c r="H16" s="3" t="s">
        <v>56</v>
      </c>
    </row>
    <row r="17" spans="1:8" ht="31.5" x14ac:dyDescent="0.25">
      <c r="A17" s="5">
        <f t="shared" si="2"/>
        <v>12</v>
      </c>
      <c r="B17" s="5">
        <f>IF(B16=СравнениеКритериев[[#Headers],[Левый индекс]],1,IF(C16&lt;$D$1,B16,B16+1))</f>
        <v>3</v>
      </c>
      <c r="C17" s="10">
        <f>IF(C16=СравнениеКритериев[[#Headers],[Правый индекс]],2,IF(C16&lt;$D$1,C16+1,B17+1))</f>
        <v>4</v>
      </c>
      <c r="D17" s="10" t="b">
        <f>AND(СравнениеКритериев[[#This Row],[Номер строки]]&lt;&gt;0,СравнениеКритериев[[#This Row],[Номер строки]]&lt;=$D$2)</f>
        <v>1</v>
      </c>
      <c r="E17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2</v>
      </c>
      <c r="F17" s="15" t="str">
        <f>IF($D17,INDEX(Таблица1[Критерий],B17,COLUMN(Таблица1[[#Headers],[Критерий]])),"")</f>
        <v>Крутизна склона</v>
      </c>
      <c r="G17" s="15" t="str">
        <f>IF($D17,INDEX(Таблица1[Критерий],C17,COLUMN(Таблица1[[#Headers],[Критерий]])),"")</f>
        <v>Проницаемость поверхности земли</v>
      </c>
      <c r="H17" s="3" t="s">
        <v>56</v>
      </c>
    </row>
    <row r="18" spans="1:8" ht="31.5" x14ac:dyDescent="0.25">
      <c r="A18" s="5">
        <f t="shared" si="2"/>
        <v>13</v>
      </c>
      <c r="B18" s="5">
        <f>IF(B17=СравнениеКритериев[[#Headers],[Левый индекс]],1,IF(C17&lt;$D$1,B17,B17+1))</f>
        <v>3</v>
      </c>
      <c r="C18" s="10">
        <f>IF(C17=СравнениеКритериев[[#Headers],[Правый индекс]],2,IF(C17&lt;$D$1,C17+1,B18+1))</f>
        <v>5</v>
      </c>
      <c r="D18" s="10" t="b">
        <f>AND(СравнениеКритериев[[#This Row],[Номер строки]]&lt;&gt;0,СравнениеКритериев[[#This Row],[Номер строки]]&lt;=$D$2)</f>
        <v>1</v>
      </c>
      <c r="E18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4</v>
      </c>
      <c r="F18" s="15" t="str">
        <f>IF($D18,INDEX(Таблица1[Критерий],B18,COLUMN(Таблица1[[#Headers],[Критерий]])),"")</f>
        <v>Крутизна склона</v>
      </c>
      <c r="G18" s="15" t="str">
        <f>IF($D18,INDEX(Таблица1[Критерий],C18,COLUMN(Таблица1[[#Headers],[Критерий]])),"")</f>
        <v>Удаленность от водотоков</v>
      </c>
      <c r="H18" s="3" t="s">
        <v>55</v>
      </c>
    </row>
    <row r="19" spans="1:8" x14ac:dyDescent="0.25">
      <c r="A19" s="5">
        <f t="shared" si="2"/>
        <v>14</v>
      </c>
      <c r="B19" s="5">
        <f>IF(B18=СравнениеКритериев[[#Headers],[Левый индекс]],1,IF(C18&lt;$D$1,B18,B18+1))</f>
        <v>3</v>
      </c>
      <c r="C19" s="10">
        <f>IF(C18=СравнениеКритериев[[#Headers],[Правый индекс]],2,IF(C18&lt;$D$1,C18+1,B19+1))</f>
        <v>6</v>
      </c>
      <c r="D19" s="10" t="b">
        <f>AND(СравнениеКритериев[[#This Row],[Номер строки]]&lt;&gt;0,СравнениеКритериев[[#This Row],[Номер строки]]&lt;=$D$2)</f>
        <v>1</v>
      </c>
      <c r="E19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1</v>
      </c>
      <c r="F19" s="15" t="str">
        <f>IF($D19,INDEX(Таблица1[Критерий],B19,COLUMN(Таблица1[[#Headers],[Критерий]])),"")</f>
        <v>Крутизна склона</v>
      </c>
      <c r="G19" s="15" t="str">
        <f>IF($D19,INDEX(Таблица1[Критерий],C19,COLUMN(Таблица1[[#Headers],[Критерий]])),"")</f>
        <v>Осадки</v>
      </c>
      <c r="H19" s="3" t="s">
        <v>48</v>
      </c>
    </row>
    <row r="20" spans="1:8" ht="63" x14ac:dyDescent="0.25">
      <c r="A20" s="5">
        <f t="shared" si="2"/>
        <v>15</v>
      </c>
      <c r="B20" s="5">
        <f>IF(B19=СравнениеКритериев[[#Headers],[Левый индекс]],1,IF(C19&lt;$D$1,B19,B19+1))</f>
        <v>3</v>
      </c>
      <c r="C20" s="10">
        <f>IF(C19=СравнениеКритериев[[#Headers],[Правый индекс]],2,IF(C19&lt;$D$1,C19+1,B20+1))</f>
        <v>7</v>
      </c>
      <c r="D20" s="10" t="b">
        <f>AND(СравнениеКритериев[[#This Row],[Номер строки]]&lt;&gt;0,СравнениеКритериев[[#This Row],[Номер строки]]&lt;=$D$2)</f>
        <v>1</v>
      </c>
      <c r="E20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3</v>
      </c>
      <c r="F20" s="15" t="str">
        <f>IF($D20,INDEX(Таблица1[Критерий],B20,COLUMN(Таблица1[[#Headers],[Критерий]])),"")</f>
        <v>Крутизна склона</v>
      </c>
      <c r="G20" s="15" t="str">
        <f>IF($D20,INDEX(Таблица1[Критерий],C20,COLUMN(Таблица1[[#Headers],[Критерий]])),"")</f>
        <v>Высота над ближайшим дренажным каналом</v>
      </c>
      <c r="H20" s="3" t="s">
        <v>49</v>
      </c>
    </row>
    <row r="21" spans="1:8" ht="31.5" x14ac:dyDescent="0.25">
      <c r="A21" s="5">
        <f t="shared" si="2"/>
        <v>16</v>
      </c>
      <c r="B21" s="5">
        <f>IF(B20=СравнениеКритериев[[#Headers],[Левый индекс]],1,IF(C20&lt;$D$1,B20,B20+1))</f>
        <v>4</v>
      </c>
      <c r="C21" s="10">
        <f>IF(C20=СравнениеКритериев[[#Headers],[Правый индекс]],2,IF(C20&lt;$D$1,C20+1,B21+1))</f>
        <v>5</v>
      </c>
      <c r="D21" s="10" t="b">
        <f>AND(СравнениеКритериев[[#This Row],[Номер строки]]&lt;&gt;0,СравнениеКритериев[[#This Row],[Номер строки]]&lt;=$D$2)</f>
        <v>1</v>
      </c>
      <c r="E21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3</v>
      </c>
      <c r="F21" s="15" t="str">
        <f>IF($D21,INDEX(Таблица1[Критерий],B21,COLUMN(Таблица1[[#Headers],[Критерий]])),"")</f>
        <v>Проницаемость поверхности земли</v>
      </c>
      <c r="G21" s="15" t="str">
        <f>IF($D21,INDEX(Таблица1[Критерий],C21,COLUMN(Таблица1[[#Headers],[Критерий]])),"")</f>
        <v>Удаленность от водотоков</v>
      </c>
      <c r="H21" s="3" t="s">
        <v>49</v>
      </c>
    </row>
    <row r="22" spans="1:8" ht="31.5" x14ac:dyDescent="0.25">
      <c r="A22" s="5">
        <f t="shared" si="2"/>
        <v>17</v>
      </c>
      <c r="B22" s="5">
        <f>IF(B21=СравнениеКритериев[[#Headers],[Левый индекс]],1,IF(C21&lt;$D$1,B21,B21+1))</f>
        <v>4</v>
      </c>
      <c r="C22" s="10">
        <f>IF(C21=СравнениеКритериев[[#Headers],[Правый индекс]],2,IF(C21&lt;$D$1,C21+1,B22+1))</f>
        <v>6</v>
      </c>
      <c r="D22" s="10" t="b">
        <f>AND(СравнениеКритериев[[#This Row],[Номер строки]]&lt;&gt;0,СравнениеКритериев[[#This Row],[Номер строки]]&lt;=$D$2)</f>
        <v>1</v>
      </c>
      <c r="E22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0.5</v>
      </c>
      <c r="F22" s="15" t="str">
        <f>IF($D22,INDEX(Таблица1[Критерий],B22,COLUMN(Таблица1[[#Headers],[Критерий]])),"")</f>
        <v>Проницаемость поверхности земли</v>
      </c>
      <c r="G22" s="15" t="str">
        <f>IF($D22,INDEX(Таблица1[Критерий],C22,COLUMN(Таблица1[[#Headers],[Критерий]])),"")</f>
        <v>Осадки</v>
      </c>
      <c r="H22" s="3" t="s">
        <v>57</v>
      </c>
    </row>
    <row r="23" spans="1:8" ht="63" x14ac:dyDescent="0.25">
      <c r="A23" s="5">
        <f t="shared" si="2"/>
        <v>18</v>
      </c>
      <c r="B23" s="5">
        <f>IF(B22=СравнениеКритериев[[#Headers],[Левый индекс]],1,IF(C22&lt;$D$1,B22,B22+1))</f>
        <v>4</v>
      </c>
      <c r="C23" s="10">
        <f>IF(C22=СравнениеКритериев[[#Headers],[Правый индекс]],2,IF(C22&lt;$D$1,C22+1,B23+1))</f>
        <v>7</v>
      </c>
      <c r="D23" s="10" t="b">
        <f>AND(СравнениеКритериев[[#This Row],[Номер строки]]&lt;&gt;0,СравнениеКритериев[[#This Row],[Номер строки]]&lt;=$D$2)</f>
        <v>1</v>
      </c>
      <c r="E23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3</v>
      </c>
      <c r="F23" s="15" t="str">
        <f>IF($D23,INDEX(Таблица1[Критерий],B23,COLUMN(Таблица1[[#Headers],[Критерий]])),"")</f>
        <v>Проницаемость поверхности земли</v>
      </c>
      <c r="G23" s="15" t="str">
        <f>IF($D23,INDEX(Таблица1[Критерий],C23,COLUMN(Таблица1[[#Headers],[Критерий]])),"")</f>
        <v>Высота над ближайшим дренажным каналом</v>
      </c>
      <c r="H23" s="3" t="s">
        <v>49</v>
      </c>
    </row>
    <row r="24" spans="1:8" ht="31.5" x14ac:dyDescent="0.25">
      <c r="A24" s="5">
        <f t="shared" si="2"/>
        <v>19</v>
      </c>
      <c r="B24" s="5">
        <f>IF(B23=СравнениеКритериев[[#Headers],[Левый индекс]],1,IF(C23&lt;$D$1,B23,B23+1))</f>
        <v>5</v>
      </c>
      <c r="C24" s="10">
        <f>IF(C23=СравнениеКритериев[[#Headers],[Правый индекс]],2,IF(C23&lt;$D$1,C23+1,B24+1))</f>
        <v>6</v>
      </c>
      <c r="D24" s="10" t="b">
        <f>AND(СравнениеКритериев[[#This Row],[Номер строки]]&lt;&gt;0,СравнениеКритериев[[#This Row],[Номер строки]]&lt;=$D$2)</f>
        <v>1</v>
      </c>
      <c r="E24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0.33333333333333331</v>
      </c>
      <c r="F24" s="15" t="str">
        <f>IF($D24,INDEX(Таблица1[Критерий],B24,COLUMN(Таблица1[[#Headers],[Критерий]])),"")</f>
        <v>Удаленность от водотоков</v>
      </c>
      <c r="G24" s="15" t="str">
        <f>IF($D24,INDEX(Таблица1[Критерий],C24,COLUMN(Таблица1[[#Headers],[Критерий]])),"")</f>
        <v>Осадки</v>
      </c>
      <c r="H24" s="3" t="s">
        <v>47</v>
      </c>
    </row>
    <row r="25" spans="1:8" ht="63" x14ac:dyDescent="0.25">
      <c r="A25" s="5">
        <f t="shared" si="2"/>
        <v>20</v>
      </c>
      <c r="B25" s="5">
        <f>IF(B24=СравнениеКритериев[[#Headers],[Левый индекс]],1,IF(C24&lt;$D$1,B24,B24+1))</f>
        <v>5</v>
      </c>
      <c r="C25" s="10">
        <f>IF(C24=СравнениеКритериев[[#Headers],[Правый индекс]],2,IF(C24&lt;$D$1,C24+1,B25+1))</f>
        <v>7</v>
      </c>
      <c r="D25" s="10" t="b">
        <f>AND(СравнениеКритериев[[#This Row],[Номер строки]]&lt;&gt;0,СравнениеКритериев[[#This Row],[Номер строки]]&lt;=$D$2)</f>
        <v>1</v>
      </c>
      <c r="E25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2</v>
      </c>
      <c r="F25" s="15" t="str">
        <f>IF($D25,INDEX(Таблица1[Критерий],B25,COLUMN(Таблица1[[#Headers],[Критерий]])),"")</f>
        <v>Удаленность от водотоков</v>
      </c>
      <c r="G25" s="15" t="str">
        <f>IF($D25,INDEX(Таблица1[Критерий],C25,COLUMN(Таблица1[[#Headers],[Критерий]])),"")</f>
        <v>Высота над ближайшим дренажным каналом</v>
      </c>
      <c r="H25" s="3" t="s">
        <v>56</v>
      </c>
    </row>
    <row r="26" spans="1:8" ht="63" x14ac:dyDescent="0.25">
      <c r="A26" s="5">
        <f t="shared" si="2"/>
        <v>21</v>
      </c>
      <c r="B26" s="5">
        <f>IF(B25=СравнениеКритериев[[#Headers],[Левый индекс]],1,IF(C25&lt;$D$1,B25,B25+1))</f>
        <v>6</v>
      </c>
      <c r="C26" s="10">
        <f>IF(C25=СравнениеКритериев[[#Headers],[Правый индекс]],2,IF(C25&lt;$D$1,C25+1,B26+1))</f>
        <v>7</v>
      </c>
      <c r="D26" s="10" t="b">
        <f>AND(СравнениеКритериев[[#This Row],[Номер строки]]&lt;&gt;0,СравнениеКритериев[[#This Row],[Номер строки]]&lt;=$D$2)</f>
        <v>1</v>
      </c>
      <c r="E26" s="10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>3</v>
      </c>
      <c r="F26" s="15" t="str">
        <f>IF($D26,INDEX(Таблица1[Критерий],B26,COLUMN(Таблица1[[#Headers],[Критерий]])),"")</f>
        <v>Осадки</v>
      </c>
      <c r="G26" s="15" t="str">
        <f>IF($D26,INDEX(Таблица1[Критерий],C26,COLUMN(Таблица1[[#Headers],[Критерий]])),"")</f>
        <v>Высота над ближайшим дренажным каналом</v>
      </c>
      <c r="H26" s="3" t="s">
        <v>49</v>
      </c>
    </row>
    <row r="27" spans="1:8" x14ac:dyDescent="0.25">
      <c r="A27" s="5">
        <f t="shared" si="2"/>
        <v>22</v>
      </c>
      <c r="B27" s="5">
        <f>IF(B26=СравнениеКритериев[[#Headers],[Левый индекс]],1,IF(C26&lt;$D$1,B26,B26+1))</f>
        <v>7</v>
      </c>
      <c r="C27" s="10">
        <f>IF(C26=СравнениеКритериев[[#Headers],[Правый индекс]],2,IF(C26&lt;$D$1,C26+1,B27+1))</f>
        <v>8</v>
      </c>
      <c r="D27" s="10" t="b">
        <f>AND(СравнениеКритериев[[#This Row],[Номер строки]]&lt;&gt;0,СравнениеКритериев[[#This Row],[Номер строки]]&lt;=$D$2)</f>
        <v>0</v>
      </c>
      <c r="E27" s="10" t="str">
        <f>IF(ISBLANK(СравнениеКритериев[[#This Row],[Важность Левого по сравнению с Правым]]),"",VLOOKUP(СравнениеКритериев[[#This Row],[Важность Левого по сравнению с Правым]],Таблица2[],COLUMN(Таблица2[[#Headers],[Балл]]),FALSE))</f>
        <v/>
      </c>
      <c r="F27" s="15" t="str">
        <f>IF($D27,INDEX(Таблица1[Критерий],B27,COLUMN(Таблица1[[#Headers],[Критерий]])),"")</f>
        <v/>
      </c>
      <c r="G27" s="15" t="str">
        <f>IF($D27,INDEX(Таблица1[Критерий],C27,COLUMN(Таблица1[[#Headers],[Критерий]])),"")</f>
        <v/>
      </c>
      <c r="H27" s="3"/>
    </row>
  </sheetData>
  <mergeCells count="2">
    <mergeCell ref="A4:E4"/>
    <mergeCell ref="F4:G4"/>
  </mergeCells>
  <dataValidations count="1">
    <dataValidation type="list" allowBlank="1" showInputMessage="1" showErrorMessage="1" sqref="H6:H27" xr:uid="{00000000-0002-0000-0100-000000000000}">
      <formula1>INDIRECT("Таблица2[Оценка сравнения]")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8" sqref="A1:B8"/>
    </sheetView>
  </sheetViews>
  <sheetFormatPr defaultRowHeight="15.75" x14ac:dyDescent="0.25"/>
  <cols>
    <col min="1" max="1" width="46.28515625" style="1" bestFit="1" customWidth="1"/>
    <col min="2" max="3" width="17.42578125" style="1" bestFit="1" customWidth="1"/>
    <col min="4" max="16384" width="9.140625" style="1"/>
  </cols>
  <sheetData>
    <row r="1" spans="1:3" x14ac:dyDescent="0.25">
      <c r="A1" s="7" t="s">
        <v>0</v>
      </c>
      <c r="B1" s="8" t="s">
        <v>16</v>
      </c>
      <c r="C1"/>
    </row>
    <row r="2" spans="1:3" x14ac:dyDescent="0.25">
      <c r="A2" s="12" t="s">
        <v>39</v>
      </c>
      <c r="B2" s="11">
        <v>3.6081167605004197E-2</v>
      </c>
      <c r="C2"/>
    </row>
    <row r="3" spans="1:3" x14ac:dyDescent="0.25">
      <c r="A3" s="12" t="s">
        <v>37</v>
      </c>
      <c r="B3" s="11">
        <v>0.4759360573750141</v>
      </c>
      <c r="C3"/>
    </row>
    <row r="4" spans="1:3" x14ac:dyDescent="0.25">
      <c r="A4" s="12" t="s">
        <v>42</v>
      </c>
      <c r="B4" s="11">
        <v>0.10065169790761166</v>
      </c>
      <c r="C4"/>
    </row>
    <row r="5" spans="1:3" x14ac:dyDescent="0.25">
      <c r="A5" s="12" t="s">
        <v>40</v>
      </c>
      <c r="B5" s="11">
        <v>0.17169562577620767</v>
      </c>
      <c r="C5"/>
    </row>
    <row r="6" spans="1:3" x14ac:dyDescent="0.25">
      <c r="A6" s="12" t="s">
        <v>38</v>
      </c>
      <c r="B6" s="12">
        <v>9.889530736044172E-2</v>
      </c>
    </row>
    <row r="7" spans="1:3" x14ac:dyDescent="0.25">
      <c r="A7" s="12" t="s">
        <v>41</v>
      </c>
      <c r="B7" s="12">
        <v>7.437433089441195E-2</v>
      </c>
    </row>
    <row r="8" spans="1:3" x14ac:dyDescent="0.25">
      <c r="A8" s="12" t="s">
        <v>43</v>
      </c>
      <c r="B8" s="12">
        <v>4.2365813081308615E-2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5.75" x14ac:dyDescent="0.25"/>
  <cols>
    <col min="1" max="1" width="4.42578125" style="1" bestFit="1" customWidth="1"/>
    <col min="2" max="3" width="11.28515625" style="1" bestFit="1" customWidth="1"/>
    <col min="4" max="4" width="5.85546875" style="1" bestFit="1" customWidth="1"/>
    <col min="5" max="5" width="13.7109375" style="1" bestFit="1" customWidth="1"/>
    <col min="6" max="6" width="18.85546875" style="1" bestFit="1" customWidth="1"/>
    <col min="7" max="8" width="13.7109375" style="1" bestFit="1" customWidth="1"/>
    <col min="9" max="9" width="5.85546875" style="1" bestFit="1" customWidth="1"/>
    <col min="10" max="10" width="13.7109375" style="1" bestFit="1" customWidth="1"/>
    <col min="11" max="11" width="18.85546875" style="1" bestFit="1" customWidth="1"/>
    <col min="12" max="16384" width="9.140625" style="1"/>
  </cols>
  <sheetData>
    <row r="1" spans="1:11" x14ac:dyDescent="0.25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8" t="s">
        <v>36</v>
      </c>
      <c r="G1"/>
      <c r="H1"/>
      <c r="I1"/>
      <c r="J1"/>
      <c r="K1"/>
    </row>
    <row r="2" spans="1:11" x14ac:dyDescent="0.25">
      <c r="A2" s="7">
        <v>7</v>
      </c>
      <c r="B2" s="7">
        <v>7.7703285998120437</v>
      </c>
      <c r="C2" s="7">
        <v>0.12838809996867395</v>
      </c>
      <c r="D2" s="7">
        <v>1.32</v>
      </c>
      <c r="E2" s="7">
        <v>9.7263712097480262E-2</v>
      </c>
      <c r="F2" s="7" t="b">
        <v>1</v>
      </c>
      <c r="G2"/>
      <c r="H2"/>
      <c r="I2"/>
      <c r="J2"/>
      <c r="K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/>
  </sheetViews>
  <sheetFormatPr defaultRowHeight="15.75" x14ac:dyDescent="0.25"/>
  <cols>
    <col min="1" max="1" width="46.28515625" style="1" bestFit="1" customWidth="1"/>
    <col min="2" max="2" width="51.85546875" style="1" bestFit="1" customWidth="1"/>
    <col min="3" max="3" width="36.28515625" style="1" bestFit="1" customWidth="1"/>
    <col min="4" max="4" width="21" style="1" bestFit="1" customWidth="1"/>
    <col min="5" max="5" width="37.7109375" style="1" bestFit="1" customWidth="1"/>
    <col min="6" max="6" width="10.85546875" style="1" bestFit="1" customWidth="1"/>
    <col min="7" max="7" width="40.7109375" style="1" bestFit="1" customWidth="1"/>
    <col min="8" max="8" width="31.42578125" style="1" bestFit="1" customWidth="1"/>
    <col min="9" max="9" width="9.85546875" style="1" bestFit="1" customWidth="1"/>
    <col min="10" max="10" width="16.42578125" style="1" bestFit="1" customWidth="1"/>
    <col min="11" max="11" width="16.7109375" style="1" bestFit="1" customWidth="1"/>
    <col min="12" max="12" width="12.28515625" style="1" bestFit="1" customWidth="1"/>
    <col min="13" max="13" width="14" style="1" bestFit="1" customWidth="1"/>
    <col min="14" max="16384" width="9.140625" style="1"/>
  </cols>
  <sheetData>
    <row r="1" spans="1:13" x14ac:dyDescent="0.25">
      <c r="A1" s="12" t="s">
        <v>8</v>
      </c>
      <c r="B1" s="12" t="s">
        <v>39</v>
      </c>
      <c r="C1" s="12" t="s">
        <v>37</v>
      </c>
      <c r="D1" s="12" t="s">
        <v>42</v>
      </c>
      <c r="E1" s="12" t="s">
        <v>40</v>
      </c>
      <c r="F1" s="8" t="s">
        <v>38</v>
      </c>
      <c r="G1" s="11" t="s">
        <v>41</v>
      </c>
      <c r="H1" s="11" t="s">
        <v>43</v>
      </c>
      <c r="I1"/>
      <c r="J1"/>
      <c r="K1"/>
      <c r="L1"/>
      <c r="M1"/>
    </row>
    <row r="2" spans="1:13" x14ac:dyDescent="0.25">
      <c r="A2" s="12" t="s">
        <v>39</v>
      </c>
      <c r="B2" s="12"/>
      <c r="C2" s="12"/>
      <c r="D2" s="12"/>
      <c r="E2" s="12">
        <v>2.3792969736433189</v>
      </c>
      <c r="F2" s="11"/>
      <c r="G2" s="11"/>
      <c r="H2" s="11"/>
      <c r="I2"/>
      <c r="J2"/>
      <c r="K2"/>
      <c r="L2"/>
      <c r="M2"/>
    </row>
    <row r="3" spans="1:13" x14ac:dyDescent="0.25">
      <c r="A3" s="12" t="s">
        <v>37</v>
      </c>
      <c r="B3" s="12"/>
      <c r="C3" s="12"/>
      <c r="D3" s="12"/>
      <c r="E3" s="12">
        <v>3.2467820162830825</v>
      </c>
      <c r="F3" s="11"/>
      <c r="G3" s="11"/>
      <c r="H3" s="11"/>
      <c r="I3"/>
      <c r="J3"/>
      <c r="K3"/>
      <c r="L3"/>
      <c r="M3"/>
    </row>
    <row r="4" spans="1:13" x14ac:dyDescent="0.25">
      <c r="A4" s="12" t="s">
        <v>42</v>
      </c>
      <c r="B4" s="12"/>
      <c r="C4" s="12"/>
      <c r="D4" s="12"/>
      <c r="E4" s="12"/>
      <c r="F4" s="11"/>
      <c r="G4" s="11"/>
      <c r="H4" s="11"/>
      <c r="I4"/>
      <c r="J4"/>
      <c r="K4"/>
      <c r="L4"/>
      <c r="M4"/>
    </row>
    <row r="5" spans="1:13" x14ac:dyDescent="0.25">
      <c r="A5" s="12" t="s">
        <v>40</v>
      </c>
      <c r="B5" s="12"/>
      <c r="C5" s="12"/>
      <c r="D5" s="12">
        <v>1.758665035045277</v>
      </c>
      <c r="E5" s="12"/>
      <c r="F5" s="11"/>
      <c r="G5" s="11"/>
      <c r="H5" s="11"/>
      <c r="I5"/>
      <c r="J5"/>
      <c r="K5"/>
      <c r="L5"/>
      <c r="M5"/>
    </row>
    <row r="6" spans="1:13" x14ac:dyDescent="0.25">
      <c r="A6" s="12" t="s">
        <v>38</v>
      </c>
      <c r="B6" s="12"/>
      <c r="C6" s="12"/>
      <c r="D6" s="12"/>
      <c r="E6" s="12"/>
      <c r="F6" s="11"/>
      <c r="G6" s="11"/>
      <c r="H6" s="11"/>
      <c r="I6"/>
      <c r="J6"/>
      <c r="K6"/>
      <c r="L6"/>
      <c r="M6"/>
    </row>
    <row r="7" spans="1:13" x14ac:dyDescent="0.25">
      <c r="A7" s="12" t="s">
        <v>41</v>
      </c>
      <c r="B7" s="12"/>
      <c r="C7" s="12"/>
      <c r="D7" s="12"/>
      <c r="E7" s="12"/>
      <c r="F7" s="11"/>
      <c r="G7" s="11"/>
      <c r="H7" s="11"/>
    </row>
    <row r="8" spans="1:13" x14ac:dyDescent="0.25">
      <c r="A8" s="12" t="s">
        <v>43</v>
      </c>
      <c r="B8" s="12"/>
      <c r="C8" s="12"/>
      <c r="D8" s="12"/>
      <c r="E8" s="12"/>
      <c r="F8" s="11"/>
      <c r="G8" s="11"/>
      <c r="H8" s="11"/>
    </row>
  </sheetData>
  <phoneticPr fontId="9" type="noConversion"/>
  <conditionalFormatting sqref="B2:H8">
    <cfRule type="cellIs" dxfId="8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5.75" x14ac:dyDescent="0.25"/>
  <cols>
    <col min="1" max="1" width="46.28515625" style="1" bestFit="1" customWidth="1"/>
    <col min="2" max="2" width="51.85546875" style="1" bestFit="1" customWidth="1"/>
    <col min="3" max="3" width="36.28515625" style="1" bestFit="1" customWidth="1"/>
    <col min="4" max="4" width="21" style="1" bestFit="1" customWidth="1"/>
    <col min="5" max="5" width="37.7109375" style="1" bestFit="1" customWidth="1"/>
    <col min="6" max="6" width="13.7109375" style="1" bestFit="1" customWidth="1"/>
    <col min="7" max="7" width="40.7109375" style="1" bestFit="1" customWidth="1"/>
    <col min="8" max="8" width="31.42578125" style="1" bestFit="1" customWidth="1"/>
    <col min="9" max="16" width="5.5703125" style="1" customWidth="1"/>
    <col min="17" max="16384" width="9.140625" style="1"/>
  </cols>
  <sheetData>
    <row r="1" spans="1:8" x14ac:dyDescent="0.25">
      <c r="A1" s="7" t="s">
        <v>8</v>
      </c>
      <c r="B1" s="7" t="s">
        <v>39</v>
      </c>
      <c r="C1" s="8" t="s">
        <v>37</v>
      </c>
      <c r="D1" s="8" t="s">
        <v>42</v>
      </c>
      <c r="E1" s="8" t="s">
        <v>40</v>
      </c>
      <c r="F1" s="11" t="s">
        <v>38</v>
      </c>
      <c r="G1" s="11" t="s">
        <v>41</v>
      </c>
      <c r="H1" s="11" t="s">
        <v>43</v>
      </c>
    </row>
    <row r="2" spans="1:8" x14ac:dyDescent="0.25">
      <c r="A2" s="12" t="s">
        <v>39</v>
      </c>
      <c r="B2" s="7">
        <v>1</v>
      </c>
      <c r="C2" s="8">
        <v>0.125</v>
      </c>
      <c r="D2" s="8">
        <v>0.33333333333333331</v>
      </c>
      <c r="E2" s="8">
        <v>0.5</v>
      </c>
      <c r="F2" s="11">
        <v>0.33333333333333331</v>
      </c>
      <c r="G2" s="11">
        <v>0.33333333333333331</v>
      </c>
      <c r="H2" s="11">
        <v>0.5</v>
      </c>
    </row>
    <row r="3" spans="1:8" x14ac:dyDescent="0.25">
      <c r="A3" s="12" t="s">
        <v>37</v>
      </c>
      <c r="B3" s="7">
        <v>8</v>
      </c>
      <c r="C3" s="7">
        <v>1</v>
      </c>
      <c r="D3" s="7">
        <v>7</v>
      </c>
      <c r="E3" s="7">
        <v>9</v>
      </c>
      <c r="F3" s="12">
        <v>5</v>
      </c>
      <c r="G3" s="12">
        <v>6</v>
      </c>
      <c r="H3" s="12">
        <v>7</v>
      </c>
    </row>
    <row r="4" spans="1:8" x14ac:dyDescent="0.25">
      <c r="A4" s="12" t="s">
        <v>42</v>
      </c>
      <c r="B4" s="7">
        <v>3</v>
      </c>
      <c r="C4" s="7">
        <v>0.14285714285714285</v>
      </c>
      <c r="D4" s="7">
        <v>1</v>
      </c>
      <c r="E4" s="7">
        <v>0.33333333333333331</v>
      </c>
      <c r="F4" s="12">
        <v>1</v>
      </c>
      <c r="G4" s="12">
        <v>2</v>
      </c>
      <c r="H4" s="12">
        <v>4</v>
      </c>
    </row>
    <row r="5" spans="1:8" x14ac:dyDescent="0.25">
      <c r="A5" s="12" t="s">
        <v>40</v>
      </c>
      <c r="B5" s="7">
        <v>2</v>
      </c>
      <c r="C5" s="7">
        <v>0.1111111111111111</v>
      </c>
      <c r="D5" s="7">
        <v>3</v>
      </c>
      <c r="E5" s="7">
        <v>1</v>
      </c>
      <c r="F5" s="12">
        <v>3</v>
      </c>
      <c r="G5" s="12">
        <v>4</v>
      </c>
      <c r="H5" s="12">
        <v>5</v>
      </c>
    </row>
    <row r="6" spans="1:8" x14ac:dyDescent="0.25">
      <c r="A6" s="12" t="s">
        <v>38</v>
      </c>
      <c r="B6" s="7">
        <v>3</v>
      </c>
      <c r="C6" s="7">
        <v>0.2</v>
      </c>
      <c r="D6" s="7">
        <v>1</v>
      </c>
      <c r="E6" s="7">
        <v>0.33333333333333331</v>
      </c>
      <c r="F6" s="12">
        <v>1</v>
      </c>
      <c r="G6" s="12">
        <v>2</v>
      </c>
      <c r="H6" s="12">
        <v>3</v>
      </c>
    </row>
    <row r="7" spans="1:8" x14ac:dyDescent="0.25">
      <c r="A7" s="12" t="s">
        <v>41</v>
      </c>
      <c r="B7" s="7">
        <v>3</v>
      </c>
      <c r="C7" s="7">
        <v>0.16666666666666666</v>
      </c>
      <c r="D7" s="7">
        <v>0.5</v>
      </c>
      <c r="E7" s="7">
        <v>0.25</v>
      </c>
      <c r="F7" s="12">
        <v>0.5</v>
      </c>
      <c r="G7" s="12">
        <v>1</v>
      </c>
      <c r="H7" s="12">
        <v>3</v>
      </c>
    </row>
    <row r="8" spans="1:8" x14ac:dyDescent="0.25">
      <c r="A8" s="12" t="s">
        <v>43</v>
      </c>
      <c r="B8" s="7">
        <v>2</v>
      </c>
      <c r="C8" s="7">
        <v>0.14285714285714285</v>
      </c>
      <c r="D8" s="7">
        <v>0.25</v>
      </c>
      <c r="E8" s="7">
        <v>0.2</v>
      </c>
      <c r="F8" s="12">
        <v>0.33333333333333331</v>
      </c>
      <c r="G8" s="12">
        <v>0.33333333333333331</v>
      </c>
      <c r="H8" s="12">
        <v>1</v>
      </c>
    </row>
  </sheetData>
  <phoneticPr fontId="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workbookViewId="0">
      <selection activeCell="A2" sqref="A2"/>
    </sheetView>
  </sheetViews>
  <sheetFormatPr defaultRowHeight="15.75" x14ac:dyDescent="0.25"/>
  <cols>
    <col min="1" max="1" width="46.28515625" style="1" bestFit="1" customWidth="1"/>
    <col min="2" max="2" width="51.85546875" style="1" bestFit="1" customWidth="1"/>
    <col min="3" max="3" width="36.28515625" style="1" bestFit="1" customWidth="1"/>
    <col min="4" max="4" width="21" style="1" bestFit="1" customWidth="1"/>
    <col min="5" max="5" width="33.85546875" style="1" bestFit="1" customWidth="1"/>
    <col min="6" max="6" width="13.7109375" style="1" bestFit="1" customWidth="1"/>
    <col min="7" max="7" width="37.140625" style="1" bestFit="1" customWidth="1"/>
    <col min="8" max="8" width="28.28515625" style="1" bestFit="1" customWidth="1"/>
    <col min="9" max="9" width="12" style="1" customWidth="1"/>
    <col min="10" max="10" width="15.5703125" style="1" customWidth="1"/>
    <col min="11" max="11" width="12" style="1" customWidth="1"/>
    <col min="12" max="12" width="15.140625" style="1" customWidth="1"/>
    <col min="13" max="16384" width="9.140625" style="1"/>
  </cols>
  <sheetData>
    <row r="1" spans="1:12" x14ac:dyDescent="0.25">
      <c r="A1" s="7" t="s">
        <v>8</v>
      </c>
      <c r="B1" s="7" t="s">
        <v>39</v>
      </c>
      <c r="C1" s="7" t="s">
        <v>37</v>
      </c>
      <c r="D1" s="7" t="s">
        <v>42</v>
      </c>
      <c r="E1" s="9" t="s">
        <v>40</v>
      </c>
      <c r="F1" s="9" t="s">
        <v>38</v>
      </c>
      <c r="G1" s="9" t="s">
        <v>41</v>
      </c>
      <c r="H1" s="9" t="s">
        <v>43</v>
      </c>
      <c r="I1"/>
      <c r="J1"/>
      <c r="K1"/>
      <c r="L1"/>
    </row>
    <row r="2" spans="1:12" x14ac:dyDescent="0.25">
      <c r="A2" s="7" t="s">
        <v>39</v>
      </c>
      <c r="B2" s="7">
        <v>4.5454545454545456E-2</v>
      </c>
      <c r="C2" s="7">
        <v>6.6190376129438955E-2</v>
      </c>
      <c r="D2" s="7">
        <v>2.5477707006369425E-2</v>
      </c>
      <c r="E2" s="9">
        <v>4.3041606886657098E-2</v>
      </c>
      <c r="F2" s="11">
        <v>2.9850746268656712E-2</v>
      </c>
      <c r="G2" s="11">
        <v>2.1276595744680847E-2</v>
      </c>
      <c r="H2" s="11">
        <v>2.1276595744680851E-2</v>
      </c>
      <c r="I2"/>
      <c r="J2"/>
      <c r="K2"/>
      <c r="L2"/>
    </row>
    <row r="3" spans="1:12" x14ac:dyDescent="0.25">
      <c r="A3" s="7" t="s">
        <v>37</v>
      </c>
      <c r="B3" s="7">
        <v>0.36363636363636365</v>
      </c>
      <c r="C3" s="7">
        <v>0.52952300903551164</v>
      </c>
      <c r="D3" s="7">
        <v>0.53503184713375795</v>
      </c>
      <c r="E3" s="9">
        <v>0.77474892395982775</v>
      </c>
      <c r="F3" s="11">
        <v>0.44776119402985071</v>
      </c>
      <c r="G3" s="11">
        <v>0.38297872340425532</v>
      </c>
      <c r="H3" s="11">
        <v>0.2978723404255319</v>
      </c>
      <c r="I3"/>
      <c r="J3"/>
      <c r="K3"/>
      <c r="L3"/>
    </row>
    <row r="4" spans="1:12" x14ac:dyDescent="0.25">
      <c r="A4" s="7" t="s">
        <v>42</v>
      </c>
      <c r="B4" s="7">
        <v>0.13636363636363635</v>
      </c>
      <c r="C4" s="7">
        <v>7.5646144147930236E-2</v>
      </c>
      <c r="D4" s="7">
        <v>7.6433121019108277E-2</v>
      </c>
      <c r="E4" s="9">
        <v>2.8694404591104731E-2</v>
      </c>
      <c r="F4" s="11">
        <v>8.9552238805970144E-2</v>
      </c>
      <c r="G4" s="11">
        <v>0.1276595744680851</v>
      </c>
      <c r="H4" s="11">
        <v>0.1702127659574468</v>
      </c>
      <c r="I4"/>
      <c r="J4"/>
      <c r="K4"/>
      <c r="L4"/>
    </row>
    <row r="5" spans="1:12" x14ac:dyDescent="0.25">
      <c r="A5" s="7" t="s">
        <v>40</v>
      </c>
      <c r="B5" s="7">
        <v>9.0909090909090912E-2</v>
      </c>
      <c r="C5" s="7">
        <v>5.8835889892834628E-2</v>
      </c>
      <c r="D5" s="7">
        <v>0.22929936305732482</v>
      </c>
      <c r="E5" s="9">
        <v>8.6083213773314196E-2</v>
      </c>
      <c r="F5" s="11">
        <v>0.26865671641791045</v>
      </c>
      <c r="G5" s="11">
        <v>0.25531914893617019</v>
      </c>
      <c r="H5" s="11">
        <v>0.21276595744680851</v>
      </c>
      <c r="I5"/>
      <c r="J5"/>
      <c r="K5"/>
      <c r="L5"/>
    </row>
    <row r="6" spans="1:12" x14ac:dyDescent="0.25">
      <c r="A6" s="19" t="s">
        <v>38</v>
      </c>
      <c r="B6" s="7">
        <v>0.13636363636363635</v>
      </c>
      <c r="C6" s="7">
        <v>0.10590460180710234</v>
      </c>
      <c r="D6" s="7">
        <v>7.6433121019108277E-2</v>
      </c>
      <c r="E6" s="9">
        <v>2.8694404591104731E-2</v>
      </c>
      <c r="F6" s="11">
        <v>8.9552238805970144E-2</v>
      </c>
      <c r="G6" s="11">
        <v>0.1276595744680851</v>
      </c>
      <c r="H6" s="11">
        <v>0.1276595744680851</v>
      </c>
      <c r="I6"/>
      <c r="J6"/>
      <c r="K6"/>
      <c r="L6"/>
    </row>
    <row r="7" spans="1:12" x14ac:dyDescent="0.25">
      <c r="A7" s="19" t="s">
        <v>41</v>
      </c>
      <c r="B7" s="7">
        <v>0.13636363636363635</v>
      </c>
      <c r="C7" s="7">
        <v>8.8253834839251935E-2</v>
      </c>
      <c r="D7" s="7">
        <v>3.8216560509554139E-2</v>
      </c>
      <c r="E7" s="9">
        <v>2.1520803443328549E-2</v>
      </c>
      <c r="F7" s="11">
        <v>4.4776119402985072E-2</v>
      </c>
      <c r="G7" s="11">
        <v>6.3829787234042548E-2</v>
      </c>
      <c r="H7" s="11">
        <v>0.1276595744680851</v>
      </c>
      <c r="I7"/>
      <c r="J7"/>
      <c r="K7"/>
      <c r="L7"/>
    </row>
    <row r="8" spans="1:12" x14ac:dyDescent="0.25">
      <c r="A8" s="19" t="s">
        <v>43</v>
      </c>
      <c r="B8" s="7">
        <v>9.0909090909090912E-2</v>
      </c>
      <c r="C8" s="7">
        <v>7.5646144147930236E-2</v>
      </c>
      <c r="D8" s="7">
        <v>1.9108280254777069E-2</v>
      </c>
      <c r="E8" s="9">
        <v>1.721664275466284E-2</v>
      </c>
      <c r="F8" s="11">
        <v>2.9850746268656712E-2</v>
      </c>
      <c r="G8" s="11">
        <v>2.1276595744680847E-2</v>
      </c>
      <c r="H8" s="11">
        <v>4.2553191489361701E-2</v>
      </c>
      <c r="I8"/>
      <c r="J8"/>
      <c r="K8"/>
      <c r="L8"/>
    </row>
    <row r="9" spans="1:12" x14ac:dyDescent="0.25">
      <c r="E9"/>
      <c r="F9"/>
      <c r="G9"/>
      <c r="H9"/>
      <c r="I9"/>
      <c r="J9"/>
      <c r="K9"/>
      <c r="L9"/>
    </row>
    <row r="10" spans="1:12" x14ac:dyDescent="0.25">
      <c r="E10"/>
      <c r="F10"/>
      <c r="G10"/>
      <c r="H10"/>
      <c r="I10"/>
      <c r="J10"/>
      <c r="K10"/>
      <c r="L10"/>
    </row>
    <row r="11" spans="1:12" x14ac:dyDescent="0.25">
      <c r="E11"/>
      <c r="F11"/>
      <c r="G11"/>
      <c r="H11"/>
      <c r="I11"/>
      <c r="J11"/>
      <c r="K11"/>
      <c r="L11"/>
    </row>
    <row r="12" spans="1:12" x14ac:dyDescent="0.25">
      <c r="E12"/>
      <c r="F12"/>
      <c r="G12"/>
      <c r="H12"/>
      <c r="I12"/>
      <c r="J12"/>
      <c r="K12"/>
      <c r="L12"/>
    </row>
    <row r="13" spans="1:12" x14ac:dyDescent="0.25">
      <c r="E13"/>
      <c r="F13"/>
      <c r="G13"/>
      <c r="H13"/>
      <c r="I13"/>
      <c r="J13"/>
      <c r="K13"/>
      <c r="L13"/>
    </row>
    <row r="14" spans="1:12" x14ac:dyDescent="0.25">
      <c r="E14"/>
      <c r="F14"/>
      <c r="G14"/>
      <c r="H14"/>
      <c r="I14"/>
      <c r="J14"/>
      <c r="K14"/>
      <c r="L14"/>
    </row>
    <row r="15" spans="1:12" x14ac:dyDescent="0.25">
      <c r="E15"/>
      <c r="F15"/>
      <c r="G15"/>
      <c r="H15"/>
      <c r="I15"/>
      <c r="J15"/>
      <c r="K15"/>
      <c r="L15"/>
    </row>
    <row r="16" spans="1:12" x14ac:dyDescent="0.25">
      <c r="E16"/>
      <c r="F16"/>
      <c r="G16"/>
      <c r="H16"/>
      <c r="I16"/>
      <c r="J16"/>
      <c r="K16"/>
      <c r="L16"/>
    </row>
    <row r="17" spans="5:12" x14ac:dyDescent="0.25">
      <c r="E17"/>
      <c r="F17"/>
      <c r="G17"/>
      <c r="H17"/>
      <c r="I17"/>
      <c r="J17"/>
      <c r="K17"/>
      <c r="L17"/>
    </row>
    <row r="18" spans="5:12" x14ac:dyDescent="0.25">
      <c r="E18"/>
      <c r="F18"/>
      <c r="G18"/>
      <c r="H18"/>
    </row>
    <row r="19" spans="5:12" x14ac:dyDescent="0.25">
      <c r="E19"/>
      <c r="F19"/>
      <c r="G19"/>
      <c r="H19"/>
    </row>
    <row r="20" spans="5:12" x14ac:dyDescent="0.25">
      <c r="E20"/>
      <c r="F20"/>
      <c r="G20"/>
      <c r="H20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>
      <selection activeCell="A19" sqref="A19"/>
    </sheetView>
  </sheetViews>
  <sheetFormatPr defaultRowHeight="15.75" x14ac:dyDescent="0.25"/>
  <cols>
    <col min="1" max="1" width="104.85546875" customWidth="1"/>
    <col min="2" max="2" width="8.85546875" style="1" customWidth="1"/>
    <col min="3" max="16384" width="9.140625" style="1"/>
  </cols>
  <sheetData>
    <row r="1" spans="1:2" x14ac:dyDescent="0.25">
      <c r="A1" s="1" t="s">
        <v>2</v>
      </c>
      <c r="B1" s="1" t="s">
        <v>1</v>
      </c>
    </row>
    <row r="2" spans="1:2" x14ac:dyDescent="0.25">
      <c r="A2" s="3" t="s">
        <v>44</v>
      </c>
      <c r="B2" s="1">
        <f>1/B18</f>
        <v>0.1111111111111111</v>
      </c>
    </row>
    <row r="3" spans="1:2" ht="31.5" x14ac:dyDescent="0.25">
      <c r="A3" s="3" t="str">
        <f>"Между «"&amp;A2&amp;"» и «"&amp;A4&amp;"» (1/8)"</f>
        <v>Между «Несоизмеримо менее значимый (1/9)» и «Существенно менее значимый, что подтверждается на практике (1/7)» (1/8)</v>
      </c>
      <c r="B3" s="1">
        <f>1/B17</f>
        <v>0.125</v>
      </c>
    </row>
    <row r="4" spans="1:2" x14ac:dyDescent="0.25">
      <c r="A4" s="3" t="s">
        <v>45</v>
      </c>
      <c r="B4" s="1">
        <f>1/B16</f>
        <v>0.14285714285714285</v>
      </c>
    </row>
    <row r="5" spans="1:2" x14ac:dyDescent="0.25">
      <c r="A5" s="3" t="str">
        <f>"Между «"&amp;A4&amp;"» и «"&amp;A6&amp;"» (1/6)"</f>
        <v>Между «Существенно менее значимый, что подтверждается на практике (1/7)» и «Менее значимый (1/5)» (1/6)</v>
      </c>
      <c r="B5" s="1">
        <f>1/B15</f>
        <v>0.16666666666666666</v>
      </c>
    </row>
    <row r="6" spans="1:2" x14ac:dyDescent="0.25">
      <c r="A6" s="3" t="s">
        <v>46</v>
      </c>
      <c r="B6" s="1">
        <f>1/B14</f>
        <v>0.2</v>
      </c>
    </row>
    <row r="7" spans="1:2" x14ac:dyDescent="0.25">
      <c r="A7" s="3" t="str">
        <f>"Между «"&amp;A6&amp;"» и «"&amp;A8&amp;"» (1/4)"</f>
        <v>Между «Менее значимый (1/5)» и «Немного менее значимый (1/3)» (1/4)</v>
      </c>
      <c r="B7" s="1">
        <f>1/B13</f>
        <v>0.25</v>
      </c>
    </row>
    <row r="8" spans="1:2" x14ac:dyDescent="0.25">
      <c r="A8" s="3" t="s">
        <v>47</v>
      </c>
      <c r="B8" s="1">
        <f>1/B12</f>
        <v>0.33333333333333331</v>
      </c>
    </row>
    <row r="9" spans="1:2" x14ac:dyDescent="0.25">
      <c r="A9" s="3" t="str">
        <f>"Между «"&amp;A8&amp;"» и «"&amp;A10&amp;"» (1/2)"</f>
        <v>Между «Немного менее значимый (1/3)» и «Равнозначны (1)» (1/2)</v>
      </c>
      <c r="B9" s="1">
        <f>1/B11</f>
        <v>0.5</v>
      </c>
    </row>
    <row r="10" spans="1:2" x14ac:dyDescent="0.25">
      <c r="A10" s="3" t="s">
        <v>48</v>
      </c>
      <c r="B10" s="1">
        <v>1</v>
      </c>
    </row>
    <row r="11" spans="1:2" x14ac:dyDescent="0.25">
      <c r="A11" s="3" t="str">
        <f>"Между «"&amp;A10&amp;"» и «"&amp;A12&amp;"» (2)"</f>
        <v>Между «Равнозначны (1)» и «Немного более значимый (3)» (2)</v>
      </c>
      <c r="B11" s="1">
        <v>2</v>
      </c>
    </row>
    <row r="12" spans="1:2" x14ac:dyDescent="0.25">
      <c r="A12" s="3" t="s">
        <v>49</v>
      </c>
      <c r="B12" s="1">
        <v>3</v>
      </c>
    </row>
    <row r="13" spans="1:2" x14ac:dyDescent="0.25">
      <c r="A13" s="3" t="str">
        <f>"Между «"&amp;A12&amp;"» и «"&amp;A14&amp;"» (4)"</f>
        <v>Между «Немного более значимый (3)» и «Более значимый (5)» (4)</v>
      </c>
      <c r="B13" s="1">
        <v>4</v>
      </c>
    </row>
    <row r="14" spans="1:2" x14ac:dyDescent="0.25">
      <c r="A14" s="3" t="s">
        <v>50</v>
      </c>
      <c r="B14" s="1">
        <v>5</v>
      </c>
    </row>
    <row r="15" spans="1:2" x14ac:dyDescent="0.25">
      <c r="A15" s="3" t="str">
        <f>"Между «"&amp;A14&amp;"» и «"&amp;A16&amp;"» (6)"</f>
        <v>Между «Более значимый (5)» и «Существенно более значимый, что подтверждается на практике (7)» (6)</v>
      </c>
      <c r="B15" s="1">
        <v>6</v>
      </c>
    </row>
    <row r="16" spans="1:2" x14ac:dyDescent="0.25">
      <c r="A16" s="3" t="s">
        <v>51</v>
      </c>
      <c r="B16" s="1">
        <v>7</v>
      </c>
    </row>
    <row r="17" spans="1:2" ht="31.5" x14ac:dyDescent="0.25">
      <c r="A17" s="3" t="str">
        <f>"Между «"&amp;A16&amp;"» и «"&amp;A18&amp;"» (8)"</f>
        <v>Между «Существенно более значимый, что подтверждается на практике (7)» и «Несоизмеримо более значимый (9)» (8)</v>
      </c>
      <c r="B17" s="1">
        <v>8</v>
      </c>
    </row>
    <row r="18" spans="1:2" x14ac:dyDescent="0.25">
      <c r="A18" s="3" t="s">
        <v>52</v>
      </c>
      <c r="B18" s="1">
        <v>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"/>
  <sheetViews>
    <sheetView workbookViewId="0">
      <selection activeCell="H2" sqref="H2"/>
    </sheetView>
  </sheetViews>
  <sheetFormatPr defaultRowHeight="15.75" x14ac:dyDescent="0.25"/>
  <cols>
    <col min="1" max="16384" width="9.140625" style="1"/>
  </cols>
  <sheetData>
    <row r="1" spans="1:13" x14ac:dyDescent="0.25">
      <c r="A1" s="1" t="s">
        <v>17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 x14ac:dyDescent="0.25">
      <c r="A2" s="1" t="s">
        <v>18</v>
      </c>
      <c r="B2" s="1">
        <v>0</v>
      </c>
      <c r="C2" s="1">
        <v>0</v>
      </c>
      <c r="D2" s="1">
        <v>0.57999999999999996</v>
      </c>
      <c r="E2" s="1">
        <v>0.9</v>
      </c>
      <c r="F2" s="1">
        <v>1.1200000000000001</v>
      </c>
      <c r="G2" s="1">
        <v>1.24</v>
      </c>
      <c r="H2" s="1">
        <v>1.32</v>
      </c>
      <c r="I2" s="1">
        <v>1.41</v>
      </c>
      <c r="J2" s="1">
        <v>1.45</v>
      </c>
      <c r="K2" s="1">
        <v>1.49</v>
      </c>
      <c r="L2" s="1">
        <v>1.51</v>
      </c>
      <c r="M2" s="1">
        <v>1.54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81091A-F838-472F-8460-5BDF4321C0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Критерии</vt:lpstr>
      <vt:lpstr>Попарное сравнение</vt:lpstr>
      <vt:lpstr>Веса критериев</vt:lpstr>
      <vt:lpstr>Оценка согласованности</vt:lpstr>
      <vt:lpstr>Max несогласованность</vt:lpstr>
      <vt:lpstr>Матрица сравнения</vt:lpstr>
      <vt:lpstr>Матрица сравнения Норм</vt:lpstr>
      <vt:lpstr>Шкала</vt:lpstr>
      <vt:lpstr>Индекс случайности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Гришкин Максим Александрович</dc:creator>
  <cp:lastModifiedBy>Гришкин</cp:lastModifiedBy>
  <dcterms:created xsi:type="dcterms:W3CDTF">2025-11-26T14:20:17Z</dcterms:created>
  <dcterms:modified xsi:type="dcterms:W3CDTF">2025-11-30T21:19:01Z</dcterms:modified>
</cp:coreProperties>
</file>